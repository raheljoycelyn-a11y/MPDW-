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ugas kuliah el\"/>
    </mc:Choice>
  </mc:AlternateContent>
  <xr:revisionPtr revIDLastSave="0" documentId="8_{E4E5729F-ECD0-4A09-A9F6-28DBB50AA5F9}" xr6:coauthVersionLast="47" xr6:coauthVersionMax="47" xr10:uidLastSave="{00000000-0000-0000-0000-000000000000}"/>
  <bookViews>
    <workbookView xWindow="-110" yWindow="-110" windowWidth="19420" windowHeight="11500" activeTab="4" xr2:uid="{B2B02E85-0DEB-4451-9761-6BBEED7EB7BC}"/>
  </bookViews>
  <sheets>
    <sheet name="SMA" sheetId="1" r:id="rId1"/>
    <sheet name="DMA" sheetId="9" r:id="rId2"/>
    <sheet name="SES" sheetId="8" r:id="rId3"/>
    <sheet name="DES" sheetId="7" r:id="rId4"/>
    <sheet name="KESIMPULAN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0" i="7" l="1"/>
  <c r="T30" i="7"/>
  <c r="U27" i="7"/>
  <c r="T27" i="7"/>
  <c r="S27" i="7"/>
  <c r="M27" i="7"/>
  <c r="L27" i="7"/>
  <c r="K27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3" i="7"/>
  <c r="I4" i="7"/>
  <c r="I5" i="7"/>
  <c r="I6" i="7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3" i="7"/>
  <c r="Q4" i="7"/>
  <c r="Q5" i="7"/>
  <c r="Q6" i="7" s="1"/>
  <c r="Q7" i="7" s="1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3" i="7"/>
  <c r="I2" i="7"/>
  <c r="Q2" i="7"/>
  <c r="Q4" i="8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3" i="8"/>
  <c r="L30" i="8"/>
  <c r="M27" i="8"/>
  <c r="L27" i="8"/>
  <c r="K27" i="8"/>
  <c r="T30" i="1"/>
  <c r="L30" i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3" i="8"/>
  <c r="K3" i="8" a="1"/>
  <c r="K3" i="8" s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3" i="8"/>
  <c r="R3" i="8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3" i="8"/>
  <c r="I2" i="8"/>
  <c r="Q2" i="8"/>
  <c r="U27" i="1"/>
  <c r="T27" i="1"/>
  <c r="S27" i="1"/>
  <c r="L27" i="1"/>
  <c r="M27" i="1"/>
  <c r="K27" i="1"/>
  <c r="Y8" i="9"/>
  <c r="Z8" i="9" s="1"/>
  <c r="Y9" i="9"/>
  <c r="Z9" i="9" s="1"/>
  <c r="Y10" i="9"/>
  <c r="Y11" i="9"/>
  <c r="Y12" i="9"/>
  <c r="Y13" i="9"/>
  <c r="Z13" i="9" s="1"/>
  <c r="Y14" i="9"/>
  <c r="Y15" i="9"/>
  <c r="Y16" i="9"/>
  <c r="Y17" i="9"/>
  <c r="Y18" i="9"/>
  <c r="Y19" i="9"/>
  <c r="Y20" i="9"/>
  <c r="Y21" i="9"/>
  <c r="Y22" i="9"/>
  <c r="Y23" i="9"/>
  <c r="Z23" i="9" s="1"/>
  <c r="Y24" i="9"/>
  <c r="Y25" i="9"/>
  <c r="Y7" i="9"/>
  <c r="Z7" i="9" s="1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7" i="9"/>
  <c r="N7" i="9" s="1"/>
  <c r="W7" i="9"/>
  <c r="W8" i="9"/>
  <c r="W9" i="9"/>
  <c r="W10" i="9"/>
  <c r="W11" i="9"/>
  <c r="W12" i="9"/>
  <c r="W13" i="9"/>
  <c r="W14" i="9"/>
  <c r="Z14" i="9" s="1"/>
  <c r="W15" i="9"/>
  <c r="Z15" i="9" s="1"/>
  <c r="W16" i="9"/>
  <c r="Z16" i="9" s="1"/>
  <c r="W17" i="9"/>
  <c r="W18" i="9"/>
  <c r="W19" i="9"/>
  <c r="W20" i="9"/>
  <c r="W21" i="9"/>
  <c r="W22" i="9"/>
  <c r="W23" i="9"/>
  <c r="W24" i="9"/>
  <c r="W25" i="9"/>
  <c r="W6" i="9"/>
  <c r="K7" i="9"/>
  <c r="K8" i="9"/>
  <c r="K9" i="9"/>
  <c r="K10" i="9"/>
  <c r="K11" i="9"/>
  <c r="K12" i="9"/>
  <c r="K13" i="9"/>
  <c r="N13" i="9" s="1"/>
  <c r="K14" i="9"/>
  <c r="N14" i="9" s="1"/>
  <c r="K15" i="9"/>
  <c r="N15" i="9" s="1"/>
  <c r="K16" i="9"/>
  <c r="N16" i="9" s="1"/>
  <c r="K17" i="9"/>
  <c r="N17" i="9" s="1"/>
  <c r="K18" i="9"/>
  <c r="K19" i="9"/>
  <c r="K20" i="9"/>
  <c r="K21" i="9"/>
  <c r="K22" i="9"/>
  <c r="K23" i="9"/>
  <c r="K24" i="9"/>
  <c r="K25" i="9"/>
  <c r="N10" i="9"/>
  <c r="N8" i="9"/>
  <c r="N12" i="9"/>
  <c r="N24" i="9"/>
  <c r="K6" i="9"/>
  <c r="Z10" i="9"/>
  <c r="Z11" i="9"/>
  <c r="Z12" i="9"/>
  <c r="Z24" i="9"/>
  <c r="Z25" i="9"/>
  <c r="N9" i="9"/>
  <c r="N11" i="9"/>
  <c r="N25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6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4" i="9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5" i="1"/>
  <c r="J18" i="1"/>
  <c r="K18" i="1" s="1"/>
  <c r="J19" i="1"/>
  <c r="K19" i="1" s="1"/>
  <c r="J20" i="1"/>
  <c r="K20" i="1" s="1"/>
  <c r="J21" i="1"/>
  <c r="K21" i="1" s="1"/>
  <c r="J22" i="1"/>
  <c r="K22" i="1" s="1"/>
  <c r="I9" i="1"/>
  <c r="I10" i="1"/>
  <c r="I11" i="1"/>
  <c r="I12" i="1"/>
  <c r="I13" i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I19" i="1"/>
  <c r="I20" i="1"/>
  <c r="I21" i="1"/>
  <c r="I22" i="1"/>
  <c r="I23" i="1"/>
  <c r="J23" i="1" s="1"/>
  <c r="K23" i="1" s="1"/>
  <c r="I24" i="1"/>
  <c r="J24" i="1" s="1"/>
  <c r="K24" i="1" s="1"/>
  <c r="I25" i="1"/>
  <c r="J25" i="1" s="1"/>
  <c r="K25" i="1" s="1"/>
  <c r="H13" i="9"/>
  <c r="H12" i="9"/>
  <c r="H11" i="9"/>
  <c r="H10" i="9"/>
  <c r="H9" i="9"/>
  <c r="H8" i="9"/>
  <c r="H7" i="9"/>
  <c r="H6" i="9"/>
  <c r="H5" i="9"/>
  <c r="H4" i="9"/>
  <c r="H3" i="9"/>
  <c r="H2" i="9"/>
  <c r="H13" i="8"/>
  <c r="H12" i="8"/>
  <c r="H11" i="8"/>
  <c r="H10" i="8"/>
  <c r="H9" i="8"/>
  <c r="H8" i="8"/>
  <c r="H7" i="8"/>
  <c r="H6" i="8"/>
  <c r="H5" i="8"/>
  <c r="H4" i="8"/>
  <c r="H3" i="8"/>
  <c r="H2" i="8"/>
  <c r="H13" i="7"/>
  <c r="H12" i="7"/>
  <c r="H11" i="7"/>
  <c r="H10" i="7"/>
  <c r="H9" i="7"/>
  <c r="H8" i="7"/>
  <c r="H7" i="7"/>
  <c r="H6" i="7"/>
  <c r="H5" i="7"/>
  <c r="H4" i="7"/>
  <c r="H3" i="7"/>
  <c r="H2" i="7"/>
  <c r="H2" i="1"/>
  <c r="H3" i="1"/>
  <c r="I6" i="1" s="1"/>
  <c r="J6" i="1" s="1"/>
  <c r="K6" i="1" s="1"/>
  <c r="H4" i="1"/>
  <c r="I7" i="1" s="1"/>
  <c r="H5" i="1"/>
  <c r="I8" i="1" s="1"/>
  <c r="H6" i="1"/>
  <c r="H7" i="1"/>
  <c r="J7" i="1" s="1"/>
  <c r="K7" i="1" s="1"/>
  <c r="H8" i="1"/>
  <c r="H9" i="1"/>
  <c r="J9" i="1" s="1"/>
  <c r="K9" i="1" s="1"/>
  <c r="H10" i="1"/>
  <c r="J10" i="1" s="1"/>
  <c r="K10" i="1" s="1"/>
  <c r="H11" i="1"/>
  <c r="J11" i="1" s="1"/>
  <c r="K11" i="1" s="1"/>
  <c r="H12" i="1"/>
  <c r="J12" i="1" s="1"/>
  <c r="K12" i="1" s="1"/>
  <c r="H13" i="1"/>
  <c r="J13" i="1" s="1"/>
  <c r="K13" i="1" s="1"/>
  <c r="R15" i="8" l="1"/>
  <c r="R14" i="8"/>
  <c r="R13" i="8"/>
  <c r="R12" i="8"/>
  <c r="R11" i="8"/>
  <c r="R7" i="8"/>
  <c r="R10" i="8"/>
  <c r="R9" i="8"/>
  <c r="R8" i="8"/>
  <c r="R6" i="8"/>
  <c r="R5" i="8"/>
  <c r="R4" i="8"/>
  <c r="Z22" i="9"/>
  <c r="AA7" i="9" s="1" a="1"/>
  <c r="Z21" i="9"/>
  <c r="Z20" i="9"/>
  <c r="Z19" i="9"/>
  <c r="Z18" i="9"/>
  <c r="Z17" i="9"/>
  <c r="N23" i="9"/>
  <c r="N22" i="9"/>
  <c r="O7" i="9" s="1" a="1"/>
  <c r="N21" i="9"/>
  <c r="N20" i="9"/>
  <c r="N19" i="9"/>
  <c r="N18" i="9"/>
  <c r="S5" i="1" a="1"/>
  <c r="S5" i="1"/>
  <c r="T18" i="1"/>
  <c r="T22" i="1"/>
  <c r="T7" i="1"/>
  <c r="T10" i="1"/>
  <c r="T11" i="1"/>
  <c r="T12" i="1"/>
  <c r="T13" i="1"/>
  <c r="T14" i="1"/>
  <c r="T16" i="1"/>
  <c r="T19" i="1"/>
  <c r="T20" i="1"/>
  <c r="T21" i="1"/>
  <c r="T6" i="1"/>
  <c r="T23" i="1"/>
  <c r="T15" i="1"/>
  <c r="T8" i="1"/>
  <c r="T24" i="1"/>
  <c r="T9" i="1"/>
  <c r="T17" i="1"/>
  <c r="M7" i="1"/>
  <c r="L7" i="1"/>
  <c r="M13" i="1"/>
  <c r="L13" i="1"/>
  <c r="M6" i="1"/>
  <c r="L6" i="1"/>
  <c r="M12" i="1"/>
  <c r="L12" i="1"/>
  <c r="M11" i="1"/>
  <c r="L11" i="1"/>
  <c r="L21" i="1"/>
  <c r="M21" i="1"/>
  <c r="M20" i="1"/>
  <c r="L20" i="1"/>
  <c r="L17" i="1"/>
  <c r="M17" i="1"/>
  <c r="L15" i="1"/>
  <c r="M15" i="1"/>
  <c r="M25" i="1"/>
  <c r="L25" i="1"/>
  <c r="M22" i="1"/>
  <c r="L22" i="1"/>
  <c r="L10" i="1"/>
  <c r="M10" i="1"/>
  <c r="M9" i="1"/>
  <c r="L9" i="1"/>
  <c r="L19" i="1"/>
  <c r="M19" i="1"/>
  <c r="M16" i="1"/>
  <c r="L16" i="1"/>
  <c r="L14" i="1"/>
  <c r="M14" i="1"/>
  <c r="M24" i="1"/>
  <c r="L24" i="1"/>
  <c r="M23" i="1"/>
  <c r="L23" i="1"/>
  <c r="J8" i="1"/>
  <c r="K8" i="1" s="1"/>
  <c r="L18" i="1"/>
  <c r="M18" i="1"/>
  <c r="I5" i="1"/>
  <c r="J5" i="1" s="1"/>
  <c r="K5" i="1" s="1"/>
  <c r="R16" i="8" l="1"/>
  <c r="R17" i="8"/>
  <c r="AA7" i="9"/>
  <c r="AA27" i="9"/>
  <c r="AC23" i="9"/>
  <c r="AB20" i="9"/>
  <c r="AC19" i="9"/>
  <c r="AC21" i="9"/>
  <c r="AC8" i="9"/>
  <c r="AC24" i="9"/>
  <c r="AB21" i="9"/>
  <c r="AC9" i="9"/>
  <c r="AC25" i="9"/>
  <c r="AB22" i="9"/>
  <c r="AC10" i="9"/>
  <c r="AB23" i="9"/>
  <c r="AC11" i="9"/>
  <c r="AB8" i="9"/>
  <c r="AB24" i="9"/>
  <c r="AC15" i="9"/>
  <c r="AB12" i="9"/>
  <c r="AB14" i="9"/>
  <c r="AB16" i="9"/>
  <c r="AC20" i="9"/>
  <c r="AC22" i="9"/>
  <c r="AC16" i="9"/>
  <c r="AC18" i="9"/>
  <c r="AB19" i="9"/>
  <c r="AC12" i="9"/>
  <c r="AB9" i="9"/>
  <c r="AB25" i="9"/>
  <c r="AC13" i="9"/>
  <c r="AB10" i="9"/>
  <c r="AC14" i="9"/>
  <c r="AB11" i="9"/>
  <c r="AB13" i="9"/>
  <c r="AC17" i="9"/>
  <c r="AB15" i="9"/>
  <c r="AB17" i="9"/>
  <c r="AB18" i="9"/>
  <c r="O7" i="9"/>
  <c r="Q9" i="9"/>
  <c r="Q25" i="9"/>
  <c r="P19" i="9"/>
  <c r="P20" i="9"/>
  <c r="P16" i="9"/>
  <c r="Q10" i="9"/>
  <c r="Q22" i="9"/>
  <c r="Q24" i="9"/>
  <c r="Q11" i="9"/>
  <c r="P21" i="9"/>
  <c r="Q12" i="9"/>
  <c r="P22" i="9"/>
  <c r="Q13" i="9"/>
  <c r="P23" i="9"/>
  <c r="Q14" i="9"/>
  <c r="P8" i="9"/>
  <c r="P24" i="9"/>
  <c r="Q15" i="9"/>
  <c r="P9" i="9"/>
  <c r="P25" i="9"/>
  <c r="P13" i="9"/>
  <c r="P14" i="9"/>
  <c r="P18" i="9"/>
  <c r="Q19" i="9"/>
  <c r="P15" i="9"/>
  <c r="Q18" i="9"/>
  <c r="Q20" i="9"/>
  <c r="Q21" i="9"/>
  <c r="Q8" i="9"/>
  <c r="Q16" i="9"/>
  <c r="P10" i="9"/>
  <c r="Q17" i="9"/>
  <c r="P11" i="9"/>
  <c r="P12" i="9"/>
  <c r="O27" i="9"/>
  <c r="Q23" i="9"/>
  <c r="P17" i="9"/>
  <c r="T25" i="1"/>
  <c r="T5" i="1"/>
  <c r="L5" i="1"/>
  <c r="M5" i="1"/>
  <c r="M8" i="1"/>
  <c r="L8" i="1"/>
  <c r="R18" i="8" l="1"/>
  <c r="AC7" i="9"/>
  <c r="AC27" i="9" s="1"/>
  <c r="AB7" i="9"/>
  <c r="AB27" i="9" s="1"/>
  <c r="AB30" i="9" s="1"/>
  <c r="Q7" i="9"/>
  <c r="Q27" i="9" s="1"/>
  <c r="P7" i="9"/>
  <c r="P27" i="9" s="1"/>
  <c r="P30" i="9" s="1"/>
  <c r="R19" i="8" l="1"/>
  <c r="R20" i="8" l="1"/>
  <c r="R21" i="8" l="1"/>
  <c r="R22" i="8" l="1"/>
  <c r="R23" i="8" l="1"/>
  <c r="R25" i="8" l="1"/>
  <c r="R24" i="8"/>
  <c r="S3" i="8" l="1" a="1"/>
  <c r="U24" i="8" l="1"/>
  <c r="U11" i="8"/>
  <c r="T4" i="8"/>
  <c r="S3" i="8"/>
  <c r="U9" i="8"/>
  <c r="T20" i="8"/>
  <c r="U18" i="8"/>
  <c r="U25" i="8"/>
  <c r="U12" i="8"/>
  <c r="T11" i="8"/>
  <c r="T18" i="8"/>
  <c r="T5" i="8"/>
  <c r="U19" i="8"/>
  <c r="U15" i="8"/>
  <c r="T21" i="8"/>
  <c r="T12" i="8"/>
  <c r="T24" i="8"/>
  <c r="U13" i="8"/>
  <c r="U4" i="8"/>
  <c r="T8" i="8"/>
  <c r="U14" i="8"/>
  <c r="U20" i="8"/>
  <c r="U5" i="8"/>
  <c r="U16" i="8"/>
  <c r="T13" i="8"/>
  <c r="U21" i="8"/>
  <c r="T9" i="8"/>
  <c r="U6" i="8"/>
  <c r="T25" i="8"/>
  <c r="T15" i="8"/>
  <c r="T22" i="8"/>
  <c r="U7" i="8"/>
  <c r="T6" i="8"/>
  <c r="U17" i="8"/>
  <c r="U23" i="8"/>
  <c r="T10" i="8"/>
  <c r="U10" i="8"/>
  <c r="U8" i="8"/>
  <c r="T17" i="8"/>
  <c r="U22" i="8"/>
  <c r="T23" i="8"/>
  <c r="T16" i="8"/>
  <c r="T7" i="8"/>
  <c r="T19" i="8"/>
  <c r="T14" i="8"/>
  <c r="S27" i="8" l="1"/>
  <c r="U3" i="8"/>
  <c r="U27" i="8" s="1"/>
  <c r="T3" i="8"/>
  <c r="T27" i="8" s="1"/>
  <c r="T30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<sst xmlns="http://schemas.openxmlformats.org/spreadsheetml/2006/main" count="113" uniqueCount="21">
  <si>
    <t>t</t>
  </si>
  <si>
    <t>advert</t>
  </si>
  <si>
    <t>sales</t>
  </si>
  <si>
    <t>hasil pemulusan/peramalan</t>
  </si>
  <si>
    <t>error</t>
  </si>
  <si>
    <t>absolute error</t>
  </si>
  <si>
    <t>squared error</t>
  </si>
  <si>
    <t xml:space="preserve">absolute percentage error </t>
  </si>
  <si>
    <t>MAE</t>
  </si>
  <si>
    <t>MSE</t>
  </si>
  <si>
    <t>MAPE</t>
  </si>
  <si>
    <t>moving average 1</t>
  </si>
  <si>
    <t>moving average 2</t>
  </si>
  <si>
    <t>konstanta</t>
  </si>
  <si>
    <t>slope</t>
  </si>
  <si>
    <t>RMSE</t>
  </si>
  <si>
    <t>Keputusan &amp; Kesimpulan:</t>
  </si>
  <si>
    <r>
      <t>1. Metode Terbaik untuk Data Sales: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Double Exponential Smoothing (DES)</t>
    </r>
  </si>
  <si>
    <r>
      <t xml:space="preserve">Memiliki </t>
    </r>
    <r>
      <rPr>
        <b/>
        <sz val="11"/>
        <color theme="1"/>
        <rFont val="Aptos Narrow"/>
        <family val="2"/>
        <scheme val="minor"/>
      </rPr>
      <t>MAPE terkecil (3,65%)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1"/>
        <rFont val="Aptos Narrow"/>
        <family val="2"/>
        <scheme val="minor"/>
      </rPr>
      <t>RMSE terkecil (6,46)</t>
    </r>
    <r>
      <rPr>
        <sz val="11"/>
        <color theme="1"/>
        <rFont val="Aptos Narrow"/>
        <family val="2"/>
        <scheme val="minor"/>
      </rPr>
      <t xml:space="preserve">. Artinya, tingkat akurasi peramalan Sales menggunakan DES mencapai </t>
    </r>
    <r>
      <rPr>
        <b/>
        <sz val="11"/>
        <color theme="1"/>
        <rFont val="Aptos Narrow"/>
        <family val="2"/>
        <scheme val="minor"/>
      </rPr>
      <t>96,35%</t>
    </r>
    <r>
      <rPr>
        <sz val="11"/>
        <color theme="1"/>
        <rFont val="Aptos Narrow"/>
        <family val="2"/>
        <scheme val="minor"/>
      </rPr>
      <t>.</t>
    </r>
  </si>
  <si>
    <r>
      <t>2. Metode Terbaik untuk Data Advert: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Double Exponential Smoothing (DES)</t>
    </r>
  </si>
  <si>
    <r>
      <t xml:space="preserve">Memiliki </t>
    </r>
    <r>
      <rPr>
        <b/>
        <sz val="11"/>
        <color theme="1"/>
        <rFont val="Aptos Narrow"/>
        <family val="2"/>
        <scheme val="minor"/>
      </rPr>
      <t>MAPE terkecil (12,61%)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1"/>
        <rFont val="Aptos Narrow"/>
        <family val="2"/>
        <scheme val="minor"/>
      </rPr>
      <t>RMSE terkecil (9,27)</t>
    </r>
    <r>
      <rPr>
        <sz val="11"/>
        <color theme="1"/>
        <rFont val="Aptos Narrow"/>
        <family val="2"/>
        <scheme val="minor"/>
      </rPr>
      <t xml:space="preserve"> dibandingkan metode pemulusan lainnya.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</si>
</sst>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4B33-3915-4BD0-B67C-3EE8A2EFDA1C}">
  <dimension ref="A1:U31"/>
  <sheetViews>
    <sheetView topLeftCell="E1" zoomScale="69" workbookViewId="0">
      <selection activeCell="K27" sqref="K27:M31"/>
    </sheetView>
  </sheetViews>
  <sheetFormatPr defaultRowHeight="14.5" x14ac:dyDescent="0.35"/>
  <cols>
    <col min="1" max="8" width="8.7265625" style="1"/>
    <col min="9" max="9" width="23.1796875" style="1" customWidth="1"/>
    <col min="10" max="10" width="9.1796875" style="1" customWidth="1"/>
    <col min="11" max="11" width="12.36328125" style="1" customWidth="1"/>
    <col min="12" max="12" width="11.90625" style="1" customWidth="1"/>
    <col min="13" max="13" width="21.6328125" style="1" customWidth="1"/>
    <col min="14" max="14" width="9.453125" style="1" customWidth="1"/>
    <col min="15" max="15" width="8.7265625" style="3"/>
    <col min="16" max="16" width="8.7265625" style="1"/>
    <col min="17" max="17" width="23.453125" style="1" customWidth="1"/>
    <col min="18" max="18" width="8.7265625" style="1"/>
    <col min="19" max="19" width="11.7265625" style="1" customWidth="1"/>
    <col min="20" max="20" width="11.26953125" style="1" customWidth="1"/>
    <col min="21" max="21" width="22.36328125" style="1" customWidth="1"/>
    <col min="22" max="16384" width="8.7265625" style="1"/>
  </cols>
  <sheetData>
    <row r="1" spans="1:21" ht="13.5" customHeight="1" x14ac:dyDescent="0.35">
      <c r="A1" s="1" t="s">
        <v>0</v>
      </c>
      <c r="B1" s="1" t="s">
        <v>1</v>
      </c>
      <c r="C1" s="1" t="s">
        <v>2</v>
      </c>
      <c r="E1" s="1">
        <v>50</v>
      </c>
      <c r="G1" s="1" t="s">
        <v>0</v>
      </c>
      <c r="H1" s="1" t="s">
        <v>1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O1" s="1" t="s">
        <v>0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1" x14ac:dyDescent="0.35">
      <c r="A2" s="1">
        <v>1</v>
      </c>
      <c r="B2" s="1">
        <v>25</v>
      </c>
      <c r="C2" s="1">
        <v>92.8</v>
      </c>
      <c r="G2" s="1">
        <v>1</v>
      </c>
      <c r="H2" s="1">
        <f>B2+$E$1</f>
        <v>75</v>
      </c>
      <c r="O2" s="1">
        <v>1</v>
      </c>
      <c r="P2" s="1">
        <v>142.80000000000001</v>
      </c>
    </row>
    <row r="3" spans="1:21" x14ac:dyDescent="0.35">
      <c r="A3" s="1">
        <v>2</v>
      </c>
      <c r="B3" s="1">
        <v>0</v>
      </c>
      <c r="C3" s="1">
        <v>79.2</v>
      </c>
      <c r="G3" s="1">
        <v>2</v>
      </c>
      <c r="H3" s="1">
        <f>B3+$E$1</f>
        <v>50</v>
      </c>
      <c r="O3" s="1">
        <v>2</v>
      </c>
      <c r="P3" s="1">
        <v>129.19999999999999</v>
      </c>
    </row>
    <row r="4" spans="1:21" x14ac:dyDescent="0.35">
      <c r="A4" s="1">
        <v>3</v>
      </c>
      <c r="B4" s="1">
        <v>15</v>
      </c>
      <c r="C4" s="1">
        <v>84.5</v>
      </c>
      <c r="G4" s="1">
        <v>3</v>
      </c>
      <c r="H4" s="1">
        <f>B4+$E$1</f>
        <v>65</v>
      </c>
      <c r="O4" s="1">
        <v>3</v>
      </c>
      <c r="P4" s="1">
        <v>134.5</v>
      </c>
    </row>
    <row r="5" spans="1:21" x14ac:dyDescent="0.35">
      <c r="A5" s="1">
        <v>4</v>
      </c>
      <c r="B5" s="1">
        <v>10</v>
      </c>
      <c r="C5" s="1">
        <v>83</v>
      </c>
      <c r="G5" s="1">
        <v>4</v>
      </c>
      <c r="H5" s="1">
        <f>B5+$E$1</f>
        <v>60</v>
      </c>
      <c r="I5" s="1">
        <f>AVERAGE(H2:H4)</f>
        <v>63.333333333333336</v>
      </c>
      <c r="J5" s="1">
        <f>H5-I5</f>
        <v>-3.3333333333333357</v>
      </c>
      <c r="K5" s="1">
        <f>ABS(J5)</f>
        <v>3.3333333333333357</v>
      </c>
      <c r="L5" s="1">
        <f>K5^2</f>
        <v>11.111111111111127</v>
      </c>
      <c r="M5" s="1">
        <f>(K5/H5)*100</f>
        <v>5.5555555555555598</v>
      </c>
      <c r="O5" s="1">
        <v>4</v>
      </c>
      <c r="P5" s="1">
        <v>133</v>
      </c>
      <c r="Q5" s="1">
        <f>AVERAGE(P2:P4)</f>
        <v>135.5</v>
      </c>
      <c r="R5" s="1">
        <f>P5-Q5</f>
        <v>-2.5</v>
      </c>
      <c r="S5" s="1" cm="1">
        <f t="array" ref="S5:S25">ABS(R5:R25)</f>
        <v>2.5</v>
      </c>
      <c r="T5" s="1">
        <f>S5^2</f>
        <v>6.25</v>
      </c>
      <c r="U5" s="1">
        <f>(S5/P5)*100</f>
        <v>1.8796992481203008</v>
      </c>
    </row>
    <row r="6" spans="1:21" x14ac:dyDescent="0.35">
      <c r="A6" s="1">
        <v>5</v>
      </c>
      <c r="B6" s="1">
        <v>20</v>
      </c>
      <c r="C6" s="1">
        <v>88.1</v>
      </c>
      <c r="G6" s="1">
        <v>5</v>
      </c>
      <c r="H6" s="1">
        <f>B6+$E$1</f>
        <v>70</v>
      </c>
      <c r="I6" s="1">
        <f t="shared" ref="I6:I25" si="0">AVERAGE(H3:H5)</f>
        <v>58.333333333333336</v>
      </c>
      <c r="J6" s="1">
        <f t="shared" ref="J6:J25" si="1">H6-I6</f>
        <v>11.666666666666664</v>
      </c>
      <c r="K6" s="1">
        <f t="shared" ref="K6:K25" si="2">ABS(J6)</f>
        <v>11.666666666666664</v>
      </c>
      <c r="L6" s="1">
        <f t="shared" ref="L6:L25" si="3">K6^2</f>
        <v>136.11111111111106</v>
      </c>
      <c r="M6" s="1">
        <f t="shared" ref="M6:M25" si="4">(K6/H6)*100</f>
        <v>16.666666666666664</v>
      </c>
      <c r="O6" s="1">
        <v>5</v>
      </c>
      <c r="P6" s="1">
        <v>138.1</v>
      </c>
      <c r="Q6" s="1">
        <f t="shared" ref="Q6:Q25" si="5">AVERAGE(P3:P5)</f>
        <v>132.23333333333332</v>
      </c>
      <c r="R6" s="1">
        <f t="shared" ref="R6:R25" si="6">P6-Q6</f>
        <v>5.8666666666666742</v>
      </c>
      <c r="S6" s="1">
        <v>5.8666666666666742</v>
      </c>
      <c r="T6" s="1">
        <f t="shared" ref="T6:T25" si="7">S6^2</f>
        <v>34.417777777777864</v>
      </c>
      <c r="U6" s="1">
        <f t="shared" ref="U6:U25" si="8">(S6/P6)*100</f>
        <v>4.2481293748491487</v>
      </c>
    </row>
    <row r="7" spans="1:21" x14ac:dyDescent="0.35">
      <c r="A7" s="1">
        <v>6</v>
      </c>
      <c r="B7" s="1">
        <v>10</v>
      </c>
      <c r="C7" s="1">
        <v>83.9</v>
      </c>
      <c r="G7" s="1">
        <v>6</v>
      </c>
      <c r="H7" s="1">
        <f>B7+$E$1</f>
        <v>60</v>
      </c>
      <c r="I7" s="1">
        <f t="shared" si="0"/>
        <v>65</v>
      </c>
      <c r="J7" s="1">
        <f t="shared" si="1"/>
        <v>-5</v>
      </c>
      <c r="K7" s="1">
        <f t="shared" si="2"/>
        <v>5</v>
      </c>
      <c r="L7" s="1">
        <f t="shared" si="3"/>
        <v>25</v>
      </c>
      <c r="M7" s="1">
        <f t="shared" si="4"/>
        <v>8.3333333333333321</v>
      </c>
      <c r="O7" s="1">
        <v>6</v>
      </c>
      <c r="P7" s="1">
        <v>133.9</v>
      </c>
      <c r="Q7" s="1">
        <f t="shared" si="5"/>
        <v>135.20000000000002</v>
      </c>
      <c r="R7" s="1">
        <f t="shared" si="6"/>
        <v>-1.3000000000000114</v>
      </c>
      <c r="S7" s="1">
        <v>1.3000000000000114</v>
      </c>
      <c r="T7" s="1">
        <f t="shared" si="7"/>
        <v>1.6900000000000295</v>
      </c>
      <c r="U7" s="1">
        <f t="shared" si="8"/>
        <v>0.97087378640777544</v>
      </c>
    </row>
    <row r="8" spans="1:21" x14ac:dyDescent="0.35">
      <c r="A8" s="1">
        <v>7</v>
      </c>
      <c r="B8" s="1">
        <v>5</v>
      </c>
      <c r="C8" s="1">
        <v>79.900000000000006</v>
      </c>
      <c r="G8" s="1">
        <v>7</v>
      </c>
      <c r="H8" s="1">
        <f>B8+$E$1</f>
        <v>55</v>
      </c>
      <c r="I8" s="1">
        <f t="shared" si="0"/>
        <v>63.333333333333336</v>
      </c>
      <c r="J8" s="1">
        <f t="shared" si="1"/>
        <v>-8.3333333333333357</v>
      </c>
      <c r="K8" s="1">
        <f t="shared" si="2"/>
        <v>8.3333333333333357</v>
      </c>
      <c r="L8" s="1">
        <f t="shared" si="3"/>
        <v>69.444444444444485</v>
      </c>
      <c r="M8" s="1">
        <f t="shared" si="4"/>
        <v>15.151515151515154</v>
      </c>
      <c r="O8" s="1">
        <v>7</v>
      </c>
      <c r="P8" s="1">
        <v>129.9</v>
      </c>
      <c r="Q8" s="1">
        <f t="shared" si="5"/>
        <v>135</v>
      </c>
      <c r="R8" s="1">
        <f t="shared" si="6"/>
        <v>-5.0999999999999943</v>
      </c>
      <c r="S8" s="1">
        <v>5.0999999999999943</v>
      </c>
      <c r="T8" s="1">
        <f t="shared" si="7"/>
        <v>26.009999999999941</v>
      </c>
      <c r="U8" s="1">
        <f t="shared" si="8"/>
        <v>3.9260969976905264</v>
      </c>
    </row>
    <row r="9" spans="1:21" x14ac:dyDescent="0.35">
      <c r="A9" s="1">
        <v>8</v>
      </c>
      <c r="B9" s="1">
        <v>5</v>
      </c>
      <c r="C9" s="1">
        <v>81.099999999999994</v>
      </c>
      <c r="G9" s="1">
        <v>8</v>
      </c>
      <c r="H9" s="1">
        <f>B9+$E$1</f>
        <v>55</v>
      </c>
      <c r="I9" s="1">
        <f t="shared" si="0"/>
        <v>61.666666666666664</v>
      </c>
      <c r="J9" s="1">
        <f t="shared" si="1"/>
        <v>-6.6666666666666643</v>
      </c>
      <c r="K9" s="1">
        <f t="shared" si="2"/>
        <v>6.6666666666666643</v>
      </c>
      <c r="L9" s="1">
        <f t="shared" si="3"/>
        <v>44.444444444444414</v>
      </c>
      <c r="M9" s="1">
        <f t="shared" si="4"/>
        <v>12.121212121212118</v>
      </c>
      <c r="O9" s="1">
        <v>8</v>
      </c>
      <c r="P9" s="1">
        <v>131.1</v>
      </c>
      <c r="Q9" s="1">
        <f t="shared" si="5"/>
        <v>133.96666666666667</v>
      </c>
      <c r="R9" s="1">
        <f t="shared" si="6"/>
        <v>-2.8666666666666742</v>
      </c>
      <c r="S9" s="1">
        <v>2.8666666666666742</v>
      </c>
      <c r="T9" s="1">
        <f t="shared" si="7"/>
        <v>8.2177777777778207</v>
      </c>
      <c r="U9" s="1">
        <f t="shared" si="8"/>
        <v>2.1866259852529932</v>
      </c>
    </row>
    <row r="10" spans="1:21" x14ac:dyDescent="0.35">
      <c r="A10" s="1">
        <v>9</v>
      </c>
      <c r="B10" s="1">
        <v>15</v>
      </c>
      <c r="C10" s="1">
        <v>86.4</v>
      </c>
      <c r="G10" s="1">
        <v>9</v>
      </c>
      <c r="H10" s="1">
        <f>B10+$E$1</f>
        <v>65</v>
      </c>
      <c r="I10" s="1">
        <f t="shared" si="0"/>
        <v>56.666666666666664</v>
      </c>
      <c r="J10" s="1">
        <f t="shared" si="1"/>
        <v>8.3333333333333357</v>
      </c>
      <c r="K10" s="1">
        <f t="shared" si="2"/>
        <v>8.3333333333333357</v>
      </c>
      <c r="L10" s="1">
        <f t="shared" si="3"/>
        <v>69.444444444444485</v>
      </c>
      <c r="M10" s="1">
        <f t="shared" si="4"/>
        <v>12.820512820512825</v>
      </c>
      <c r="O10" s="1">
        <v>9</v>
      </c>
      <c r="P10" s="1">
        <v>136.4</v>
      </c>
      <c r="Q10" s="1">
        <f t="shared" si="5"/>
        <v>131.63333333333333</v>
      </c>
      <c r="R10" s="1">
        <f t="shared" si="6"/>
        <v>4.7666666666666799</v>
      </c>
      <c r="S10" s="1">
        <v>4.7666666666666799</v>
      </c>
      <c r="T10" s="1">
        <f t="shared" si="7"/>
        <v>22.721111111111238</v>
      </c>
      <c r="U10" s="1">
        <f t="shared" si="8"/>
        <v>3.4946236559139878</v>
      </c>
    </row>
    <row r="11" spans="1:21" x14ac:dyDescent="0.35">
      <c r="A11" s="1">
        <v>10</v>
      </c>
      <c r="B11" s="1">
        <v>15</v>
      </c>
      <c r="C11" s="1">
        <v>86.3</v>
      </c>
      <c r="G11" s="1">
        <v>10</v>
      </c>
      <c r="H11" s="1">
        <f>B11+$E$1</f>
        <v>65</v>
      </c>
      <c r="I11" s="1">
        <f t="shared" si="0"/>
        <v>58.333333333333336</v>
      </c>
      <c r="J11" s="1">
        <f t="shared" si="1"/>
        <v>6.6666666666666643</v>
      </c>
      <c r="K11" s="1">
        <f t="shared" si="2"/>
        <v>6.6666666666666643</v>
      </c>
      <c r="L11" s="1">
        <f t="shared" si="3"/>
        <v>44.444444444444414</v>
      </c>
      <c r="M11" s="1">
        <f t="shared" si="4"/>
        <v>10.256410256410254</v>
      </c>
      <c r="O11" s="1">
        <v>10</v>
      </c>
      <c r="P11" s="1">
        <v>136.30000000000001</v>
      </c>
      <c r="Q11" s="1">
        <f t="shared" si="5"/>
        <v>132.46666666666667</v>
      </c>
      <c r="R11" s="1">
        <f t="shared" si="6"/>
        <v>3.8333333333333428</v>
      </c>
      <c r="S11" s="1">
        <v>3.8333333333333428</v>
      </c>
      <c r="T11" s="1">
        <f t="shared" si="7"/>
        <v>14.694444444444517</v>
      </c>
      <c r="U11" s="1">
        <f t="shared" si="8"/>
        <v>2.812423575446326</v>
      </c>
    </row>
    <row r="12" spans="1:21" x14ac:dyDescent="0.35">
      <c r="A12" s="1">
        <v>11</v>
      </c>
      <c r="B12" s="1">
        <v>5</v>
      </c>
      <c r="C12" s="1">
        <v>81.900000000000006</v>
      </c>
      <c r="G12" s="1">
        <v>11</v>
      </c>
      <c r="H12" s="1">
        <f>B12+$E$1</f>
        <v>55</v>
      </c>
      <c r="I12" s="1">
        <f t="shared" si="0"/>
        <v>61.666666666666664</v>
      </c>
      <c r="J12" s="1">
        <f t="shared" si="1"/>
        <v>-6.6666666666666643</v>
      </c>
      <c r="K12" s="1">
        <f t="shared" si="2"/>
        <v>6.6666666666666643</v>
      </c>
      <c r="L12" s="1">
        <f t="shared" si="3"/>
        <v>44.444444444444414</v>
      </c>
      <c r="M12" s="1">
        <f t="shared" si="4"/>
        <v>12.121212121212118</v>
      </c>
      <c r="O12" s="1">
        <v>11</v>
      </c>
      <c r="P12" s="1">
        <v>131.9</v>
      </c>
      <c r="Q12" s="1">
        <f t="shared" si="5"/>
        <v>134.6</v>
      </c>
      <c r="R12" s="1">
        <f t="shared" si="6"/>
        <v>-2.6999999999999886</v>
      </c>
      <c r="S12" s="1">
        <v>2.6999999999999886</v>
      </c>
      <c r="T12" s="1">
        <f t="shared" si="7"/>
        <v>7.2899999999999388</v>
      </c>
      <c r="U12" s="1">
        <f t="shared" si="8"/>
        <v>2.0470053070507874</v>
      </c>
    </row>
    <row r="13" spans="1:21" x14ac:dyDescent="0.35">
      <c r="A13" s="1">
        <v>12</v>
      </c>
      <c r="B13" s="1">
        <v>20</v>
      </c>
      <c r="C13" s="1">
        <v>90.6</v>
      </c>
      <c r="G13" s="1">
        <v>12</v>
      </c>
      <c r="H13" s="1">
        <f>B13+$E$1</f>
        <v>70</v>
      </c>
      <c r="I13" s="1">
        <f t="shared" si="0"/>
        <v>61.666666666666664</v>
      </c>
      <c r="J13" s="1">
        <f t="shared" si="1"/>
        <v>8.3333333333333357</v>
      </c>
      <c r="K13" s="1">
        <f t="shared" si="2"/>
        <v>8.3333333333333357</v>
      </c>
      <c r="L13" s="1">
        <f t="shared" si="3"/>
        <v>69.444444444444485</v>
      </c>
      <c r="M13" s="1">
        <f t="shared" si="4"/>
        <v>11.904761904761909</v>
      </c>
      <c r="O13" s="1">
        <v>12</v>
      </c>
      <c r="P13" s="1">
        <v>140.6</v>
      </c>
      <c r="Q13" s="1">
        <f t="shared" si="5"/>
        <v>134.86666666666667</v>
      </c>
      <c r="R13" s="1">
        <f t="shared" si="6"/>
        <v>5.7333333333333201</v>
      </c>
      <c r="S13" s="1">
        <v>5.7333333333333201</v>
      </c>
      <c r="T13" s="1">
        <f t="shared" si="7"/>
        <v>32.871111111110956</v>
      </c>
      <c r="U13" s="1">
        <f t="shared" si="8"/>
        <v>4.0777619724988057</v>
      </c>
    </row>
    <row r="14" spans="1:21" x14ac:dyDescent="0.35">
      <c r="A14" s="1">
        <v>13</v>
      </c>
      <c r="B14" s="1">
        <v>15</v>
      </c>
      <c r="C14" s="1">
        <v>91.4</v>
      </c>
      <c r="G14" s="1">
        <v>13</v>
      </c>
      <c r="H14" s="1">
        <v>65</v>
      </c>
      <c r="I14" s="1">
        <f t="shared" si="0"/>
        <v>63.333333333333336</v>
      </c>
      <c r="J14" s="1">
        <f t="shared" si="1"/>
        <v>1.6666666666666643</v>
      </c>
      <c r="K14" s="1">
        <f t="shared" si="2"/>
        <v>1.6666666666666643</v>
      </c>
      <c r="L14" s="1">
        <f t="shared" si="3"/>
        <v>2.7777777777777697</v>
      </c>
      <c r="M14" s="1">
        <f t="shared" si="4"/>
        <v>2.5641025641025603</v>
      </c>
      <c r="O14" s="1">
        <v>13</v>
      </c>
      <c r="P14" s="1">
        <v>141.4</v>
      </c>
      <c r="Q14" s="1">
        <f t="shared" si="5"/>
        <v>136.26666666666668</v>
      </c>
      <c r="R14" s="1">
        <f t="shared" si="6"/>
        <v>5.1333333333333258</v>
      </c>
      <c r="S14" s="1">
        <v>5.1333333333333258</v>
      </c>
      <c r="T14" s="1">
        <f t="shared" si="7"/>
        <v>26.351111111111035</v>
      </c>
      <c r="U14" s="1">
        <f t="shared" si="8"/>
        <v>3.630363036303625</v>
      </c>
    </row>
    <row r="15" spans="1:21" x14ac:dyDescent="0.35">
      <c r="A15" s="1">
        <v>14</v>
      </c>
      <c r="B15" s="1">
        <v>5</v>
      </c>
      <c r="C15" s="1">
        <v>88.5</v>
      </c>
      <c r="G15" s="1">
        <v>14</v>
      </c>
      <c r="H15" s="1">
        <v>55</v>
      </c>
      <c r="I15" s="1">
        <f t="shared" si="0"/>
        <v>63.333333333333336</v>
      </c>
      <c r="J15" s="1">
        <f t="shared" si="1"/>
        <v>-8.3333333333333357</v>
      </c>
      <c r="K15" s="1">
        <f t="shared" si="2"/>
        <v>8.3333333333333357</v>
      </c>
      <c r="L15" s="1">
        <f t="shared" si="3"/>
        <v>69.444444444444485</v>
      </c>
      <c r="M15" s="1">
        <f t="shared" si="4"/>
        <v>15.151515151515154</v>
      </c>
      <c r="O15" s="1">
        <v>14</v>
      </c>
      <c r="P15" s="1">
        <v>138.5</v>
      </c>
      <c r="Q15" s="1">
        <f t="shared" si="5"/>
        <v>137.96666666666667</v>
      </c>
      <c r="R15" s="1">
        <f t="shared" si="6"/>
        <v>0.53333333333333144</v>
      </c>
      <c r="S15" s="1">
        <v>0.53333333333333144</v>
      </c>
      <c r="T15" s="1">
        <f t="shared" si="7"/>
        <v>0.28444444444444245</v>
      </c>
      <c r="U15" s="1">
        <f t="shared" si="8"/>
        <v>0.38507821901323569</v>
      </c>
    </row>
    <row r="16" spans="1:21" x14ac:dyDescent="0.35">
      <c r="A16" s="1">
        <v>15</v>
      </c>
      <c r="B16" s="1">
        <v>10</v>
      </c>
      <c r="C16" s="1">
        <v>93.5</v>
      </c>
      <c r="G16" s="1">
        <v>15</v>
      </c>
      <c r="H16" s="1">
        <v>60</v>
      </c>
      <c r="I16" s="1">
        <f t="shared" si="0"/>
        <v>63.333333333333336</v>
      </c>
      <c r="J16" s="1">
        <f t="shared" si="1"/>
        <v>-3.3333333333333357</v>
      </c>
      <c r="K16" s="1">
        <f t="shared" si="2"/>
        <v>3.3333333333333357</v>
      </c>
      <c r="L16" s="1">
        <f t="shared" si="3"/>
        <v>11.111111111111127</v>
      </c>
      <c r="M16" s="1">
        <f t="shared" si="4"/>
        <v>5.5555555555555598</v>
      </c>
      <c r="O16" s="1">
        <v>15</v>
      </c>
      <c r="P16" s="1">
        <v>143.5</v>
      </c>
      <c r="Q16" s="1">
        <f t="shared" si="5"/>
        <v>140.16666666666666</v>
      </c>
      <c r="R16" s="1">
        <f t="shared" si="6"/>
        <v>3.3333333333333428</v>
      </c>
      <c r="S16" s="1">
        <v>3.3333333333333428</v>
      </c>
      <c r="T16" s="1">
        <f t="shared" si="7"/>
        <v>11.111111111111175</v>
      </c>
      <c r="U16" s="1">
        <f t="shared" si="8"/>
        <v>2.3228803716608661</v>
      </c>
    </row>
    <row r="17" spans="1:21" x14ac:dyDescent="0.35">
      <c r="A17" s="1">
        <v>16</v>
      </c>
      <c r="B17" s="1">
        <v>25</v>
      </c>
      <c r="C17" s="1">
        <v>105</v>
      </c>
      <c r="G17" s="1">
        <v>16</v>
      </c>
      <c r="H17" s="1">
        <v>75</v>
      </c>
      <c r="I17" s="1">
        <f t="shared" si="0"/>
        <v>60</v>
      </c>
      <c r="J17" s="1">
        <f t="shared" si="1"/>
        <v>15</v>
      </c>
      <c r="K17" s="1">
        <f t="shared" si="2"/>
        <v>15</v>
      </c>
      <c r="L17" s="1">
        <f t="shared" si="3"/>
        <v>225</v>
      </c>
      <c r="M17" s="1">
        <f t="shared" si="4"/>
        <v>20</v>
      </c>
      <c r="O17" s="1">
        <v>16</v>
      </c>
      <c r="P17" s="1">
        <v>155</v>
      </c>
      <c r="Q17" s="1">
        <f t="shared" si="5"/>
        <v>141.13333333333333</v>
      </c>
      <c r="R17" s="1">
        <f t="shared" si="6"/>
        <v>13.866666666666674</v>
      </c>
      <c r="S17" s="1">
        <v>13.866666666666674</v>
      </c>
      <c r="T17" s="1">
        <f t="shared" si="7"/>
        <v>192.28444444444466</v>
      </c>
      <c r="U17" s="1">
        <f t="shared" si="8"/>
        <v>8.9462365591397912</v>
      </c>
    </row>
    <row r="18" spans="1:21" x14ac:dyDescent="0.35">
      <c r="A18" s="1">
        <v>17</v>
      </c>
      <c r="B18" s="1">
        <v>15</v>
      </c>
      <c r="C18" s="1">
        <v>103.5</v>
      </c>
      <c r="G18" s="1">
        <v>17</v>
      </c>
      <c r="H18" s="1">
        <v>65</v>
      </c>
      <c r="I18" s="1">
        <f t="shared" si="0"/>
        <v>63.333333333333336</v>
      </c>
      <c r="J18" s="1">
        <f t="shared" si="1"/>
        <v>1.6666666666666643</v>
      </c>
      <c r="K18" s="1">
        <f t="shared" si="2"/>
        <v>1.6666666666666643</v>
      </c>
      <c r="L18" s="1">
        <f t="shared" si="3"/>
        <v>2.7777777777777697</v>
      </c>
      <c r="M18" s="1">
        <f t="shared" si="4"/>
        <v>2.5641025641025603</v>
      </c>
      <c r="O18" s="1">
        <v>17</v>
      </c>
      <c r="P18" s="1">
        <v>153.5</v>
      </c>
      <c r="Q18" s="1">
        <f t="shared" si="5"/>
        <v>145.66666666666666</v>
      </c>
      <c r="R18" s="1">
        <f t="shared" si="6"/>
        <v>7.8333333333333428</v>
      </c>
      <c r="S18" s="1">
        <v>7.8333333333333428</v>
      </c>
      <c r="T18" s="1">
        <f t="shared" si="7"/>
        <v>61.361111111111256</v>
      </c>
      <c r="U18" s="1">
        <f t="shared" si="8"/>
        <v>5.1031487513572271</v>
      </c>
    </row>
    <row r="19" spans="1:21" x14ac:dyDescent="0.35">
      <c r="A19" s="1">
        <v>18</v>
      </c>
      <c r="B19" s="1">
        <v>5</v>
      </c>
      <c r="C19" s="1">
        <v>99.6</v>
      </c>
      <c r="G19" s="1">
        <v>18</v>
      </c>
      <c r="H19" s="1">
        <v>55</v>
      </c>
      <c r="I19" s="1">
        <f t="shared" si="0"/>
        <v>66.666666666666671</v>
      </c>
      <c r="J19" s="1">
        <f t="shared" si="1"/>
        <v>-11.666666666666671</v>
      </c>
      <c r="K19" s="1">
        <f t="shared" si="2"/>
        <v>11.666666666666671</v>
      </c>
      <c r="L19" s="1">
        <f t="shared" si="3"/>
        <v>136.11111111111123</v>
      </c>
      <c r="M19" s="1">
        <f t="shared" si="4"/>
        <v>21.212121212121222</v>
      </c>
      <c r="O19" s="1">
        <v>18</v>
      </c>
      <c r="P19" s="1">
        <v>149.6</v>
      </c>
      <c r="Q19" s="1">
        <f t="shared" si="5"/>
        <v>150.66666666666666</v>
      </c>
      <c r="R19" s="1">
        <f t="shared" si="6"/>
        <v>-1.0666666666666629</v>
      </c>
      <c r="S19" s="1">
        <v>1.0666666666666629</v>
      </c>
      <c r="T19" s="1">
        <f t="shared" si="7"/>
        <v>1.1377777777777698</v>
      </c>
      <c r="U19" s="1">
        <f t="shared" si="8"/>
        <v>0.71301247771835763</v>
      </c>
    </row>
    <row r="20" spans="1:21" x14ac:dyDescent="0.35">
      <c r="A20" s="1">
        <v>19</v>
      </c>
      <c r="B20" s="1">
        <v>15</v>
      </c>
      <c r="C20" s="1">
        <v>107.1</v>
      </c>
      <c r="G20" s="1">
        <v>19</v>
      </c>
      <c r="H20" s="1">
        <v>65</v>
      </c>
      <c r="I20" s="1">
        <f t="shared" si="0"/>
        <v>65</v>
      </c>
      <c r="J20" s="1">
        <f t="shared" si="1"/>
        <v>0</v>
      </c>
      <c r="K20" s="1">
        <f t="shared" si="2"/>
        <v>0</v>
      </c>
      <c r="L20" s="1">
        <f t="shared" si="3"/>
        <v>0</v>
      </c>
      <c r="M20" s="1">
        <f t="shared" si="4"/>
        <v>0</v>
      </c>
      <c r="O20" s="1">
        <v>19</v>
      </c>
      <c r="P20" s="1">
        <v>157.1</v>
      </c>
      <c r="Q20" s="1">
        <f t="shared" si="5"/>
        <v>152.70000000000002</v>
      </c>
      <c r="R20" s="1">
        <f t="shared" si="6"/>
        <v>4.3999999999999773</v>
      </c>
      <c r="S20" s="1">
        <v>4.3999999999999773</v>
      </c>
      <c r="T20" s="1">
        <f t="shared" si="7"/>
        <v>19.3599999999998</v>
      </c>
      <c r="U20" s="1">
        <f t="shared" si="8"/>
        <v>2.8007638446848997</v>
      </c>
    </row>
    <row r="21" spans="1:21" x14ac:dyDescent="0.35">
      <c r="A21" s="1">
        <v>20</v>
      </c>
      <c r="B21" s="1">
        <v>20</v>
      </c>
      <c r="C21" s="1">
        <v>110.9</v>
      </c>
      <c r="G21" s="1">
        <v>20</v>
      </c>
      <c r="H21" s="1">
        <v>70</v>
      </c>
      <c r="I21" s="1">
        <f t="shared" si="0"/>
        <v>61.666666666666664</v>
      </c>
      <c r="J21" s="1">
        <f t="shared" si="1"/>
        <v>8.3333333333333357</v>
      </c>
      <c r="K21" s="1">
        <f t="shared" si="2"/>
        <v>8.3333333333333357</v>
      </c>
      <c r="L21" s="1">
        <f t="shared" si="3"/>
        <v>69.444444444444485</v>
      </c>
      <c r="M21" s="1">
        <f t="shared" si="4"/>
        <v>11.904761904761909</v>
      </c>
      <c r="O21" s="1">
        <v>20</v>
      </c>
      <c r="P21" s="1">
        <v>160.9</v>
      </c>
      <c r="Q21" s="1">
        <f t="shared" si="5"/>
        <v>153.4</v>
      </c>
      <c r="R21" s="1">
        <f t="shared" si="6"/>
        <v>7.5</v>
      </c>
      <c r="S21" s="1">
        <v>7.5</v>
      </c>
      <c r="T21" s="1">
        <f t="shared" si="7"/>
        <v>56.25</v>
      </c>
      <c r="U21" s="1">
        <f t="shared" si="8"/>
        <v>4.6612802983219392</v>
      </c>
    </row>
    <row r="22" spans="1:21" x14ac:dyDescent="0.35">
      <c r="A22" s="1">
        <v>21</v>
      </c>
      <c r="B22" s="1">
        <v>25</v>
      </c>
      <c r="C22" s="1">
        <v>114.7</v>
      </c>
      <c r="G22" s="1">
        <v>21</v>
      </c>
      <c r="H22" s="1">
        <v>75</v>
      </c>
      <c r="I22" s="1">
        <f t="shared" si="0"/>
        <v>63.333333333333336</v>
      </c>
      <c r="J22" s="1">
        <f t="shared" si="1"/>
        <v>11.666666666666664</v>
      </c>
      <c r="K22" s="1">
        <f t="shared" si="2"/>
        <v>11.666666666666664</v>
      </c>
      <c r="L22" s="1">
        <f t="shared" si="3"/>
        <v>136.11111111111106</v>
      </c>
      <c r="M22" s="1">
        <f t="shared" si="4"/>
        <v>15.555555555555554</v>
      </c>
      <c r="O22" s="1">
        <v>21</v>
      </c>
      <c r="P22" s="1">
        <v>164.7</v>
      </c>
      <c r="Q22" s="1">
        <f t="shared" si="5"/>
        <v>155.86666666666667</v>
      </c>
      <c r="R22" s="1">
        <f t="shared" si="6"/>
        <v>8.8333333333333144</v>
      </c>
      <c r="S22" s="1">
        <v>8.8333333333333144</v>
      </c>
      <c r="T22" s="1">
        <f t="shared" si="7"/>
        <v>78.027777777777445</v>
      </c>
      <c r="U22" s="1">
        <f t="shared" si="8"/>
        <v>5.3632867840517999</v>
      </c>
    </row>
    <row r="23" spans="1:21" x14ac:dyDescent="0.35">
      <c r="A23" s="1">
        <v>22</v>
      </c>
      <c r="B23" s="1">
        <v>15</v>
      </c>
      <c r="C23" s="1">
        <v>112.1</v>
      </c>
      <c r="G23" s="1">
        <v>22</v>
      </c>
      <c r="H23" s="1">
        <v>65</v>
      </c>
      <c r="I23" s="1">
        <f t="shared" si="0"/>
        <v>70</v>
      </c>
      <c r="J23" s="1">
        <f t="shared" si="1"/>
        <v>-5</v>
      </c>
      <c r="K23" s="1">
        <f t="shared" si="2"/>
        <v>5</v>
      </c>
      <c r="L23" s="1">
        <f t="shared" si="3"/>
        <v>25</v>
      </c>
      <c r="M23" s="1">
        <f t="shared" si="4"/>
        <v>7.6923076923076925</v>
      </c>
      <c r="O23" s="1">
        <v>22</v>
      </c>
      <c r="P23" s="1">
        <v>162.1</v>
      </c>
      <c r="Q23" s="1">
        <f t="shared" si="5"/>
        <v>160.9</v>
      </c>
      <c r="R23" s="1">
        <f t="shared" si="6"/>
        <v>1.1999999999999886</v>
      </c>
      <c r="S23" s="1">
        <v>1.1999999999999886</v>
      </c>
      <c r="T23" s="1">
        <f t="shared" si="7"/>
        <v>1.4399999999999726</v>
      </c>
      <c r="U23" s="1">
        <f t="shared" si="8"/>
        <v>0.74028377544724777</v>
      </c>
    </row>
    <row r="24" spans="1:21" x14ac:dyDescent="0.35">
      <c r="A24" s="1">
        <v>23</v>
      </c>
      <c r="B24" s="1">
        <v>0</v>
      </c>
      <c r="C24" s="1">
        <v>105.5</v>
      </c>
      <c r="G24" s="1">
        <v>23</v>
      </c>
      <c r="H24" s="1">
        <v>50</v>
      </c>
      <c r="I24" s="1">
        <f t="shared" si="0"/>
        <v>70</v>
      </c>
      <c r="J24" s="1">
        <f t="shared" si="1"/>
        <v>-20</v>
      </c>
      <c r="K24" s="1">
        <f t="shared" si="2"/>
        <v>20</v>
      </c>
      <c r="L24" s="1">
        <f t="shared" si="3"/>
        <v>400</v>
      </c>
      <c r="M24" s="1">
        <f t="shared" si="4"/>
        <v>40</v>
      </c>
      <c r="O24" s="1">
        <v>23</v>
      </c>
      <c r="P24" s="1">
        <v>155.5</v>
      </c>
      <c r="Q24" s="1">
        <f t="shared" si="5"/>
        <v>162.56666666666669</v>
      </c>
      <c r="R24" s="1">
        <f t="shared" si="6"/>
        <v>-7.0666666666666913</v>
      </c>
      <c r="S24" s="1">
        <v>7.0666666666666913</v>
      </c>
      <c r="T24" s="1">
        <f t="shared" si="7"/>
        <v>49.937777777778123</v>
      </c>
      <c r="U24" s="1">
        <f t="shared" si="8"/>
        <v>4.5444801714898331</v>
      </c>
    </row>
    <row r="25" spans="1:21" x14ac:dyDescent="0.35">
      <c r="A25" s="1">
        <v>24</v>
      </c>
      <c r="B25" s="1">
        <v>5</v>
      </c>
      <c r="C25" s="1">
        <v>110.9</v>
      </c>
      <c r="G25" s="1">
        <v>24</v>
      </c>
      <c r="H25" s="1">
        <v>55</v>
      </c>
      <c r="I25" s="1">
        <f t="shared" si="0"/>
        <v>63.333333333333336</v>
      </c>
      <c r="J25" s="1">
        <f t="shared" si="1"/>
        <v>-8.3333333333333357</v>
      </c>
      <c r="K25" s="1">
        <f t="shared" si="2"/>
        <v>8.3333333333333357</v>
      </c>
      <c r="L25" s="1">
        <f t="shared" si="3"/>
        <v>69.444444444444485</v>
      </c>
      <c r="M25" s="1">
        <f t="shared" si="4"/>
        <v>15.151515151515154</v>
      </c>
      <c r="O25" s="1">
        <v>24</v>
      </c>
      <c r="P25" s="1">
        <v>160.9</v>
      </c>
      <c r="Q25" s="1">
        <f t="shared" si="5"/>
        <v>160.76666666666665</v>
      </c>
      <c r="R25" s="1">
        <f t="shared" si="6"/>
        <v>0.13333333333335418</v>
      </c>
      <c r="S25" s="1">
        <v>0.13333333333335418</v>
      </c>
      <c r="T25" s="1">
        <f t="shared" si="7"/>
        <v>1.7777777777783336E-2</v>
      </c>
      <c r="U25" s="1">
        <f t="shared" si="8"/>
        <v>8.2867205303514088E-2</v>
      </c>
    </row>
    <row r="26" spans="1:21" x14ac:dyDescent="0.35">
      <c r="O26" s="1"/>
    </row>
    <row r="27" spans="1:21" x14ac:dyDescent="0.35">
      <c r="K27" s="1">
        <f>AVERAGE(K5:K25)</f>
        <v>7.6190476190476186</v>
      </c>
      <c r="L27" s="1">
        <f t="shared" ref="L27:M27" si="9">AVERAGE(L5:L25)</f>
        <v>79.100529100529101</v>
      </c>
      <c r="M27" s="1">
        <f t="shared" si="9"/>
        <v>12.489653203938918</v>
      </c>
      <c r="S27" s="1">
        <f>AVERAGE(_xlfn.ANCHORARRAY(S5))</f>
        <v>4.5507936507936524</v>
      </c>
      <c r="T27" s="1">
        <f>AVERAGE(T5:T25)</f>
        <v>31.03455026455028</v>
      </c>
      <c r="U27" s="1">
        <f>AVERAGE(U5:U25)</f>
        <v>3.0922343522725231</v>
      </c>
    </row>
    <row r="28" spans="1:21" x14ac:dyDescent="0.35">
      <c r="K28" s="1" t="s">
        <v>8</v>
      </c>
      <c r="L28" s="1" t="s">
        <v>9</v>
      </c>
      <c r="M28" s="1" t="s">
        <v>10</v>
      </c>
      <c r="S28" s="1" t="s">
        <v>8</v>
      </c>
      <c r="T28" s="1" t="s">
        <v>9</v>
      </c>
      <c r="U28" s="1" t="s">
        <v>10</v>
      </c>
    </row>
    <row r="30" spans="1:21" x14ac:dyDescent="0.35">
      <c r="L30" s="1">
        <f>SQRT(L27)</f>
        <v>8.8938478231038509</v>
      </c>
      <c r="T30" s="1">
        <f>SQRT(T27)</f>
        <v>5.5708662041508665</v>
      </c>
    </row>
    <row r="31" spans="1:21" x14ac:dyDescent="0.35">
      <c r="L31" s="1" t="s">
        <v>15</v>
      </c>
      <c r="T3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7B10-ECAE-4CE6-B2F5-8D05039700C3}">
  <dimension ref="A1:AC31"/>
  <sheetViews>
    <sheetView topLeftCell="I1" zoomScale="57" workbookViewId="0">
      <selection activeCell="X31" sqref="X31"/>
    </sheetView>
  </sheetViews>
  <sheetFormatPr defaultRowHeight="14.5" x14ac:dyDescent="0.35"/>
  <cols>
    <col min="1" max="8" width="8.7265625" style="1"/>
    <col min="9" max="9" width="15.6328125" style="1" customWidth="1"/>
    <col min="10" max="10" width="15.08984375" customWidth="1"/>
    <col min="11" max="12" width="8.7265625" style="1"/>
    <col min="13" max="13" width="25.08984375" style="1" customWidth="1"/>
    <col min="14" max="14" width="9.36328125" style="1" customWidth="1"/>
    <col min="15" max="15" width="12.36328125" style="1" customWidth="1"/>
    <col min="16" max="16" width="11.90625" style="1" customWidth="1"/>
    <col min="17" max="17" width="21.6328125" style="1" customWidth="1"/>
    <col min="18" max="18" width="9.453125" style="1" customWidth="1"/>
    <col min="19" max="19" width="8.7265625" style="3"/>
    <col min="20" max="20" width="9.36328125" style="1" customWidth="1"/>
    <col min="21" max="21" width="15.08984375" style="1" customWidth="1"/>
    <col min="22" max="22" width="15.453125" style="1" customWidth="1"/>
    <col min="23" max="24" width="9.36328125" style="1" customWidth="1"/>
    <col min="25" max="25" width="23.453125" style="1" customWidth="1"/>
    <col min="26" max="26" width="8.7265625" style="1"/>
    <col min="27" max="27" width="11.7265625" style="1" customWidth="1"/>
    <col min="28" max="28" width="11.26953125" style="1" customWidth="1"/>
    <col min="29" max="29" width="22.36328125" style="1" customWidth="1"/>
    <col min="30" max="16384" width="8.7265625" style="1"/>
  </cols>
  <sheetData>
    <row r="1" spans="1:29" ht="13.5" customHeight="1" x14ac:dyDescent="0.35">
      <c r="A1" s="1" t="s">
        <v>0</v>
      </c>
      <c r="B1" s="1" t="s">
        <v>1</v>
      </c>
      <c r="C1" s="1" t="s">
        <v>2</v>
      </c>
      <c r="E1" s="1">
        <v>50</v>
      </c>
      <c r="G1" s="1" t="s">
        <v>0</v>
      </c>
      <c r="H1" s="1" t="s">
        <v>1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S1" s="1" t="s">
        <v>0</v>
      </c>
      <c r="T1" s="1" t="s">
        <v>2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</row>
    <row r="2" spans="1:29" x14ac:dyDescent="0.35">
      <c r="A2" s="1">
        <v>1</v>
      </c>
      <c r="B2" s="1">
        <v>25</v>
      </c>
      <c r="C2" s="1">
        <v>92.8</v>
      </c>
      <c r="G2" s="1">
        <v>1</v>
      </c>
      <c r="H2" s="1">
        <f>B2+$E$1</f>
        <v>75</v>
      </c>
      <c r="S2" s="1">
        <v>1</v>
      </c>
      <c r="T2" s="1">
        <v>142.80000000000001</v>
      </c>
    </row>
    <row r="3" spans="1:29" x14ac:dyDescent="0.35">
      <c r="A3" s="1">
        <v>2</v>
      </c>
      <c r="B3" s="1">
        <v>0</v>
      </c>
      <c r="C3" s="1">
        <v>79.2</v>
      </c>
      <c r="G3" s="1">
        <v>2</v>
      </c>
      <c r="H3" s="1">
        <f>B3+$E$1</f>
        <v>50</v>
      </c>
      <c r="S3" s="1">
        <v>2</v>
      </c>
      <c r="T3" s="1">
        <v>129.19999999999999</v>
      </c>
    </row>
    <row r="4" spans="1:29" x14ac:dyDescent="0.35">
      <c r="A4" s="1">
        <v>3</v>
      </c>
      <c r="B4" s="1">
        <v>15</v>
      </c>
      <c r="C4" s="1">
        <v>84.5</v>
      </c>
      <c r="G4" s="1">
        <v>3</v>
      </c>
      <c r="H4" s="1">
        <f>B4+$E$1</f>
        <v>65</v>
      </c>
      <c r="I4" s="1">
        <f>AVERAGE(H2:H4)</f>
        <v>63.333333333333336</v>
      </c>
      <c r="S4" s="1">
        <v>3</v>
      </c>
      <c r="T4" s="1">
        <v>134.5</v>
      </c>
      <c r="U4" s="1">
        <f>AVERAGE(T2:T4)</f>
        <v>135.5</v>
      </c>
    </row>
    <row r="5" spans="1:29" x14ac:dyDescent="0.35">
      <c r="A5" s="1">
        <v>4</v>
      </c>
      <c r="B5" s="1">
        <v>10</v>
      </c>
      <c r="C5" s="1">
        <v>83</v>
      </c>
      <c r="G5" s="1">
        <v>4</v>
      </c>
      <c r="H5" s="1">
        <f>B5+$E$1</f>
        <v>60</v>
      </c>
      <c r="I5" s="1">
        <f t="shared" ref="I5:J25" si="0">AVERAGE(H3:H5)</f>
        <v>58.333333333333336</v>
      </c>
      <c r="S5" s="1">
        <v>4</v>
      </c>
      <c r="T5" s="1">
        <v>133</v>
      </c>
      <c r="U5" s="1">
        <f t="shared" ref="U5:V25" si="1">AVERAGE(T3:T5)</f>
        <v>132.23333333333332</v>
      </c>
    </row>
    <row r="6" spans="1:29" x14ac:dyDescent="0.35">
      <c r="A6" s="1">
        <v>5</v>
      </c>
      <c r="B6" s="1">
        <v>20</v>
      </c>
      <c r="C6" s="1">
        <v>88.1</v>
      </c>
      <c r="G6" s="1">
        <v>5</v>
      </c>
      <c r="H6" s="1">
        <f>B6+$E$1</f>
        <v>70</v>
      </c>
      <c r="I6" s="1">
        <f t="shared" si="0"/>
        <v>65</v>
      </c>
      <c r="J6">
        <f>AVERAGE(I4:I6)</f>
        <v>62.222222222222229</v>
      </c>
      <c r="K6" s="1">
        <f>2*I6-J6</f>
        <v>67.777777777777771</v>
      </c>
      <c r="L6" s="1">
        <f>(2/(3-1))*(I6-J6)</f>
        <v>2.7777777777777715</v>
      </c>
      <c r="S6" s="1">
        <v>5</v>
      </c>
      <c r="T6" s="1">
        <v>138.1</v>
      </c>
      <c r="U6" s="1">
        <f t="shared" si="1"/>
        <v>135.20000000000002</v>
      </c>
      <c r="V6" s="1">
        <f>AVERAGE(U4:U6)</f>
        <v>134.31111111111113</v>
      </c>
      <c r="W6" s="1">
        <f>2*U6-V6</f>
        <v>136.0888888888889</v>
      </c>
      <c r="X6" s="1">
        <f>(2/(3-1))*(U6-V6)</f>
        <v>0.88888888888888573</v>
      </c>
    </row>
    <row r="7" spans="1:29" x14ac:dyDescent="0.35">
      <c r="A7" s="1">
        <v>6</v>
      </c>
      <c r="B7" s="1">
        <v>10</v>
      </c>
      <c r="C7" s="1">
        <v>83.9</v>
      </c>
      <c r="G7" s="1">
        <v>6</v>
      </c>
      <c r="H7" s="1">
        <f>B7+$E$1</f>
        <v>60</v>
      </c>
      <c r="I7" s="1">
        <f t="shared" si="0"/>
        <v>63.333333333333336</v>
      </c>
      <c r="J7">
        <f t="shared" si="0"/>
        <v>62.222222222222229</v>
      </c>
      <c r="K7" s="1">
        <f t="shared" ref="K7:K25" si="2">2*I7-J7</f>
        <v>64.444444444444443</v>
      </c>
      <c r="L7" s="1">
        <f t="shared" ref="L7:L25" si="3">(2/(3-1))*(I7-J7)</f>
        <v>1.1111111111111072</v>
      </c>
      <c r="M7" s="1">
        <f>K6+L6</f>
        <v>70.555555555555543</v>
      </c>
      <c r="N7" s="1">
        <f>H7-M7</f>
        <v>-10.555555555555543</v>
      </c>
      <c r="O7" s="1" cm="1">
        <f t="array" ref="O7:O25">ABS(N7:N25)</f>
        <v>10.555555555555543</v>
      </c>
      <c r="P7" s="1">
        <f>O7^2</f>
        <v>111.41975308641949</v>
      </c>
      <c r="Q7" s="1">
        <f>(O7/H7)*100</f>
        <v>17.59259259259257</v>
      </c>
      <c r="S7" s="1">
        <v>6</v>
      </c>
      <c r="T7" s="1">
        <v>133.9</v>
      </c>
      <c r="U7" s="1">
        <f t="shared" si="1"/>
        <v>135</v>
      </c>
      <c r="V7" s="1">
        <f t="shared" si="1"/>
        <v>134.14444444444445</v>
      </c>
      <c r="W7" s="1">
        <f t="shared" ref="W7:W25" si="4">2*U7-V7</f>
        <v>135.85555555555555</v>
      </c>
      <c r="X7" s="1">
        <f t="shared" ref="X7:X25" si="5">(2/(3-1))*(U7-V7)</f>
        <v>0.85555555555555429</v>
      </c>
      <c r="Y7" s="1">
        <f>W6+X6</f>
        <v>136.97777777777779</v>
      </c>
      <c r="Z7" s="1">
        <f>T7-Y7</f>
        <v>-3.0777777777777828</v>
      </c>
      <c r="AA7" s="1" cm="1">
        <f t="array" ref="AA7:AA25">ABS(Z7:Z25)</f>
        <v>3.0777777777777828</v>
      </c>
      <c r="AB7" s="1">
        <f>AA7^2</f>
        <v>9.4727160493827469</v>
      </c>
      <c r="AC7" s="1">
        <f>(AA7/T7)*100</f>
        <v>2.2985644344867682</v>
      </c>
    </row>
    <row r="8" spans="1:29" x14ac:dyDescent="0.35">
      <c r="A8" s="1">
        <v>7</v>
      </c>
      <c r="B8" s="1">
        <v>5</v>
      </c>
      <c r="C8" s="1">
        <v>79.900000000000006</v>
      </c>
      <c r="G8" s="1">
        <v>7</v>
      </c>
      <c r="H8" s="1">
        <f>B8+$E$1</f>
        <v>55</v>
      </c>
      <c r="I8" s="1">
        <f t="shared" si="0"/>
        <v>61.666666666666664</v>
      </c>
      <c r="J8">
        <f t="shared" si="0"/>
        <v>63.333333333333336</v>
      </c>
      <c r="K8" s="1">
        <f t="shared" si="2"/>
        <v>59.999999999999993</v>
      </c>
      <c r="L8" s="1">
        <f t="shared" si="3"/>
        <v>-1.6666666666666714</v>
      </c>
      <c r="M8" s="1">
        <f t="shared" ref="M8:M25" si="6">K7+L7</f>
        <v>65.555555555555543</v>
      </c>
      <c r="N8" s="1">
        <f t="shared" ref="N8:N25" si="7">H8-M8</f>
        <v>-10.555555555555543</v>
      </c>
      <c r="O8" s="1">
        <v>10.555555555555543</v>
      </c>
      <c r="P8" s="1">
        <f t="shared" ref="P8:P25" si="8">O8^2</f>
        <v>111.41975308641949</v>
      </c>
      <c r="Q8" s="1">
        <f t="shared" ref="Q8:Q25" si="9">(O8/H8)*100</f>
        <v>19.191919191919169</v>
      </c>
      <c r="S8" s="1">
        <v>7</v>
      </c>
      <c r="T8" s="1">
        <v>129.9</v>
      </c>
      <c r="U8" s="1">
        <f t="shared" si="1"/>
        <v>133.96666666666667</v>
      </c>
      <c r="V8" s="1">
        <f t="shared" si="1"/>
        <v>134.72222222222226</v>
      </c>
      <c r="W8" s="1">
        <f t="shared" si="4"/>
        <v>133.21111111111108</v>
      </c>
      <c r="X8" s="1">
        <f t="shared" si="5"/>
        <v>-0.7555555555555884</v>
      </c>
      <c r="Y8" s="1">
        <f t="shared" ref="Y8:Y25" si="10">W7+X7</f>
        <v>136.71111111111111</v>
      </c>
      <c r="Z8" s="1">
        <f t="shared" ref="Z8:Z25" si="11">T8-Y8</f>
        <v>-6.8111111111111029</v>
      </c>
      <c r="AA8" s="1">
        <v>6.8111111111111029</v>
      </c>
      <c r="AB8" s="1">
        <f t="shared" ref="AB8:AB25" si="12">AA8^2</f>
        <v>46.391234567901122</v>
      </c>
      <c r="AC8" s="1">
        <f t="shared" ref="AC8:AC25" si="13">(AA8/T8)*100</f>
        <v>5.2433495851509644</v>
      </c>
    </row>
    <row r="9" spans="1:29" x14ac:dyDescent="0.35">
      <c r="A9" s="1">
        <v>8</v>
      </c>
      <c r="B9" s="1">
        <v>5</v>
      </c>
      <c r="C9" s="1">
        <v>81.099999999999994</v>
      </c>
      <c r="G9" s="1">
        <v>8</v>
      </c>
      <c r="H9" s="1">
        <f>B9+$E$1</f>
        <v>55</v>
      </c>
      <c r="I9" s="1">
        <f t="shared" si="0"/>
        <v>56.666666666666664</v>
      </c>
      <c r="J9">
        <f t="shared" si="0"/>
        <v>60.55555555555555</v>
      </c>
      <c r="K9" s="1">
        <f t="shared" si="2"/>
        <v>52.777777777777779</v>
      </c>
      <c r="L9" s="1">
        <f t="shared" si="3"/>
        <v>-3.8888888888888857</v>
      </c>
      <c r="M9" s="1">
        <f t="shared" si="6"/>
        <v>58.333333333333321</v>
      </c>
      <c r="N9" s="1">
        <f t="shared" si="7"/>
        <v>-3.3333333333333215</v>
      </c>
      <c r="O9" s="1">
        <v>3.3333333333333215</v>
      </c>
      <c r="P9" s="1">
        <f t="shared" si="8"/>
        <v>11.111111111111033</v>
      </c>
      <c r="Q9" s="1">
        <f t="shared" si="9"/>
        <v>6.0606060606060392</v>
      </c>
      <c r="S9" s="1">
        <v>8</v>
      </c>
      <c r="T9" s="1">
        <v>131.1</v>
      </c>
      <c r="U9" s="1">
        <f t="shared" si="1"/>
        <v>131.63333333333333</v>
      </c>
      <c r="V9" s="1">
        <f t="shared" si="1"/>
        <v>133.53333333333333</v>
      </c>
      <c r="W9" s="1">
        <f t="shared" si="4"/>
        <v>129.73333333333332</v>
      </c>
      <c r="X9" s="1">
        <f t="shared" si="5"/>
        <v>-1.9000000000000057</v>
      </c>
      <c r="Y9" s="1">
        <f t="shared" si="10"/>
        <v>132.45555555555549</v>
      </c>
      <c r="Z9" s="1">
        <f t="shared" si="11"/>
        <v>-1.3555555555554974</v>
      </c>
      <c r="AA9" s="1">
        <v>1.3555555555554974</v>
      </c>
      <c r="AB9" s="1">
        <f t="shared" si="12"/>
        <v>1.8375308641973733</v>
      </c>
      <c r="AC9" s="1">
        <f t="shared" si="13"/>
        <v>1.0339859310110584</v>
      </c>
    </row>
    <row r="10" spans="1:29" x14ac:dyDescent="0.35">
      <c r="A10" s="1">
        <v>9</v>
      </c>
      <c r="B10" s="1">
        <v>15</v>
      </c>
      <c r="C10" s="1">
        <v>86.4</v>
      </c>
      <c r="G10" s="1">
        <v>9</v>
      </c>
      <c r="H10" s="1">
        <f>B10+$E$1</f>
        <v>65</v>
      </c>
      <c r="I10" s="1">
        <f t="shared" si="0"/>
        <v>58.333333333333336</v>
      </c>
      <c r="J10">
        <f t="shared" si="0"/>
        <v>58.888888888888886</v>
      </c>
      <c r="K10" s="1">
        <f t="shared" si="2"/>
        <v>57.777777777777786</v>
      </c>
      <c r="L10" s="1">
        <f t="shared" si="3"/>
        <v>-0.55555555555555003</v>
      </c>
      <c r="M10" s="1">
        <f t="shared" si="6"/>
        <v>48.888888888888893</v>
      </c>
      <c r="N10" s="1">
        <f t="shared" si="7"/>
        <v>16.111111111111107</v>
      </c>
      <c r="O10" s="1">
        <v>16.111111111111107</v>
      </c>
      <c r="P10" s="1">
        <f t="shared" si="8"/>
        <v>259.56790123456778</v>
      </c>
      <c r="Q10" s="1">
        <f t="shared" si="9"/>
        <v>24.78632478632478</v>
      </c>
      <c r="S10" s="1">
        <v>9</v>
      </c>
      <c r="T10" s="1">
        <v>136.4</v>
      </c>
      <c r="U10" s="1">
        <f t="shared" si="1"/>
        <v>132.46666666666667</v>
      </c>
      <c r="V10" s="1">
        <f t="shared" si="1"/>
        <v>132.6888888888889</v>
      </c>
      <c r="W10" s="1">
        <f t="shared" si="4"/>
        <v>132.24444444444444</v>
      </c>
      <c r="X10" s="1">
        <f t="shared" si="5"/>
        <v>-0.22222222222222854</v>
      </c>
      <c r="Y10" s="1">
        <f t="shared" si="10"/>
        <v>127.83333333333331</v>
      </c>
      <c r="Z10" s="1">
        <f t="shared" si="11"/>
        <v>8.5666666666666913</v>
      </c>
      <c r="AA10" s="1">
        <v>8.5666666666666913</v>
      </c>
      <c r="AB10" s="1">
        <f t="shared" si="12"/>
        <v>73.387777777778197</v>
      </c>
      <c r="AC10" s="1">
        <f t="shared" si="13"/>
        <v>6.280547409579686</v>
      </c>
    </row>
    <row r="11" spans="1:29" x14ac:dyDescent="0.35">
      <c r="A11" s="1">
        <v>10</v>
      </c>
      <c r="B11" s="1">
        <v>15</v>
      </c>
      <c r="C11" s="1">
        <v>86.3</v>
      </c>
      <c r="G11" s="1">
        <v>10</v>
      </c>
      <c r="H11" s="1">
        <f>B11+$E$1</f>
        <v>65</v>
      </c>
      <c r="I11" s="1">
        <f t="shared" si="0"/>
        <v>61.666666666666664</v>
      </c>
      <c r="J11">
        <f t="shared" si="0"/>
        <v>58.888888888888886</v>
      </c>
      <c r="K11" s="1">
        <f t="shared" si="2"/>
        <v>64.444444444444443</v>
      </c>
      <c r="L11" s="1">
        <f t="shared" si="3"/>
        <v>2.7777777777777786</v>
      </c>
      <c r="M11" s="1">
        <f t="shared" si="6"/>
        <v>57.222222222222236</v>
      </c>
      <c r="N11" s="1">
        <f t="shared" si="7"/>
        <v>7.7777777777777644</v>
      </c>
      <c r="O11" s="1">
        <v>7.7777777777777644</v>
      </c>
      <c r="P11" s="1">
        <f t="shared" si="8"/>
        <v>60.493827160493616</v>
      </c>
      <c r="Q11" s="1">
        <f t="shared" si="9"/>
        <v>11.965811965811945</v>
      </c>
      <c r="S11" s="1">
        <v>10</v>
      </c>
      <c r="T11" s="1">
        <v>136.30000000000001</v>
      </c>
      <c r="U11" s="1">
        <f t="shared" si="1"/>
        <v>134.6</v>
      </c>
      <c r="V11" s="1">
        <f t="shared" si="1"/>
        <v>132.9</v>
      </c>
      <c r="W11" s="1">
        <f t="shared" si="4"/>
        <v>136.29999999999998</v>
      </c>
      <c r="X11" s="1">
        <f t="shared" si="5"/>
        <v>1.6999999999999886</v>
      </c>
      <c r="Y11" s="1">
        <f t="shared" si="10"/>
        <v>132.02222222222221</v>
      </c>
      <c r="Z11" s="1">
        <f t="shared" si="11"/>
        <v>4.2777777777777999</v>
      </c>
      <c r="AA11" s="1">
        <v>4.2777777777777999</v>
      </c>
      <c r="AB11" s="1">
        <f t="shared" si="12"/>
        <v>18.299382716049571</v>
      </c>
      <c r="AC11" s="1">
        <f t="shared" si="13"/>
        <v>3.1385016711502569</v>
      </c>
    </row>
    <row r="12" spans="1:29" x14ac:dyDescent="0.35">
      <c r="A12" s="1">
        <v>11</v>
      </c>
      <c r="B12" s="1">
        <v>5</v>
      </c>
      <c r="C12" s="1">
        <v>81.900000000000006</v>
      </c>
      <c r="G12" s="1">
        <v>11</v>
      </c>
      <c r="H12" s="1">
        <f>B12+$E$1</f>
        <v>55</v>
      </c>
      <c r="I12" s="1">
        <f t="shared" si="0"/>
        <v>61.666666666666664</v>
      </c>
      <c r="J12">
        <f t="shared" si="0"/>
        <v>60.55555555555555</v>
      </c>
      <c r="K12" s="1">
        <f t="shared" si="2"/>
        <v>62.777777777777779</v>
      </c>
      <c r="L12" s="1">
        <f t="shared" si="3"/>
        <v>1.1111111111111143</v>
      </c>
      <c r="M12" s="1">
        <f t="shared" si="6"/>
        <v>67.222222222222229</v>
      </c>
      <c r="N12" s="1">
        <f t="shared" si="7"/>
        <v>-12.222222222222229</v>
      </c>
      <c r="O12" s="1">
        <v>12.222222222222229</v>
      </c>
      <c r="P12" s="1">
        <f t="shared" si="8"/>
        <v>149.38271604938288</v>
      </c>
      <c r="Q12" s="1">
        <f t="shared" si="9"/>
        <v>22.222222222222236</v>
      </c>
      <c r="S12" s="1">
        <v>11</v>
      </c>
      <c r="T12" s="1">
        <v>131.9</v>
      </c>
      <c r="U12" s="1">
        <f t="shared" si="1"/>
        <v>134.86666666666667</v>
      </c>
      <c r="V12" s="1">
        <f t="shared" si="1"/>
        <v>133.97777777777779</v>
      </c>
      <c r="W12" s="1">
        <f t="shared" si="4"/>
        <v>135.75555555555556</v>
      </c>
      <c r="X12" s="1">
        <f t="shared" si="5"/>
        <v>0.88888888888888573</v>
      </c>
      <c r="Y12" s="1">
        <f t="shared" si="10"/>
        <v>137.99999999999997</v>
      </c>
      <c r="Z12" s="1">
        <f t="shared" si="11"/>
        <v>-6.0999999999999659</v>
      </c>
      <c r="AA12" s="1">
        <v>6.0999999999999659</v>
      </c>
      <c r="AB12" s="1">
        <f t="shared" si="12"/>
        <v>37.209999999999582</v>
      </c>
      <c r="AC12" s="1">
        <f t="shared" si="13"/>
        <v>4.6247156937073282</v>
      </c>
    </row>
    <row r="13" spans="1:29" x14ac:dyDescent="0.35">
      <c r="A13" s="1">
        <v>12</v>
      </c>
      <c r="B13" s="1">
        <v>20</v>
      </c>
      <c r="C13" s="1">
        <v>90.6</v>
      </c>
      <c r="G13" s="1">
        <v>12</v>
      </c>
      <c r="H13" s="1">
        <f>B13+$E$1</f>
        <v>70</v>
      </c>
      <c r="I13" s="1">
        <f t="shared" si="0"/>
        <v>63.333333333333336</v>
      </c>
      <c r="J13">
        <f t="shared" si="0"/>
        <v>62.222222222222221</v>
      </c>
      <c r="K13" s="1">
        <f t="shared" si="2"/>
        <v>64.444444444444457</v>
      </c>
      <c r="L13" s="1">
        <f t="shared" si="3"/>
        <v>1.1111111111111143</v>
      </c>
      <c r="M13" s="1">
        <f t="shared" si="6"/>
        <v>63.888888888888893</v>
      </c>
      <c r="N13" s="1">
        <f t="shared" si="7"/>
        <v>6.1111111111111072</v>
      </c>
      <c r="O13" s="1">
        <v>6.1111111111111072</v>
      </c>
      <c r="P13" s="1">
        <f t="shared" si="8"/>
        <v>37.345679012345627</v>
      </c>
      <c r="Q13" s="1">
        <f t="shared" si="9"/>
        <v>8.730158730158724</v>
      </c>
      <c r="S13" s="1">
        <v>12</v>
      </c>
      <c r="T13" s="1">
        <v>140.6</v>
      </c>
      <c r="U13" s="1">
        <f t="shared" si="1"/>
        <v>136.26666666666668</v>
      </c>
      <c r="V13" s="1">
        <f t="shared" si="1"/>
        <v>135.24444444444444</v>
      </c>
      <c r="W13" s="1">
        <f t="shared" si="4"/>
        <v>137.28888888888892</v>
      </c>
      <c r="X13" s="1">
        <f t="shared" si="5"/>
        <v>1.0222222222222399</v>
      </c>
      <c r="Y13" s="1">
        <f t="shared" si="10"/>
        <v>136.64444444444445</v>
      </c>
      <c r="Z13" s="1">
        <f t="shared" si="11"/>
        <v>3.9555555555555486</v>
      </c>
      <c r="AA13" s="1">
        <v>3.9555555555555486</v>
      </c>
      <c r="AB13" s="1">
        <f t="shared" si="12"/>
        <v>15.646419753086365</v>
      </c>
      <c r="AC13" s="1">
        <f t="shared" si="13"/>
        <v>2.8133396554449139</v>
      </c>
    </row>
    <row r="14" spans="1:29" x14ac:dyDescent="0.35">
      <c r="A14" s="1">
        <v>13</v>
      </c>
      <c r="B14" s="1">
        <v>15</v>
      </c>
      <c r="C14" s="1">
        <v>91.4</v>
      </c>
      <c r="G14" s="1">
        <v>13</v>
      </c>
      <c r="H14" s="1">
        <v>65</v>
      </c>
      <c r="I14" s="1">
        <f t="shared" si="0"/>
        <v>63.333333333333336</v>
      </c>
      <c r="J14">
        <f t="shared" si="0"/>
        <v>62.777777777777779</v>
      </c>
      <c r="K14" s="1">
        <f t="shared" si="2"/>
        <v>63.888888888888893</v>
      </c>
      <c r="L14" s="1">
        <f t="shared" si="3"/>
        <v>0.55555555555555713</v>
      </c>
      <c r="M14" s="1">
        <f t="shared" si="6"/>
        <v>65.555555555555571</v>
      </c>
      <c r="N14" s="1">
        <f t="shared" si="7"/>
        <v>-0.55555555555557135</v>
      </c>
      <c r="O14" s="1">
        <v>0.55555555555557135</v>
      </c>
      <c r="P14" s="1">
        <f t="shared" si="8"/>
        <v>0.3086419753086595</v>
      </c>
      <c r="Q14" s="1">
        <f t="shared" si="9"/>
        <v>0.85470085470087909</v>
      </c>
      <c r="S14" s="1">
        <v>13</v>
      </c>
      <c r="T14" s="1">
        <v>141.4</v>
      </c>
      <c r="U14" s="1">
        <f t="shared" si="1"/>
        <v>137.96666666666667</v>
      </c>
      <c r="V14" s="1">
        <f t="shared" si="1"/>
        <v>136.36666666666667</v>
      </c>
      <c r="W14" s="1">
        <f t="shared" si="4"/>
        <v>139.56666666666666</v>
      </c>
      <c r="X14" s="1">
        <f t="shared" si="5"/>
        <v>1.5999999999999943</v>
      </c>
      <c r="Y14" s="1">
        <f t="shared" si="10"/>
        <v>138.31111111111116</v>
      </c>
      <c r="Z14" s="1">
        <f t="shared" si="11"/>
        <v>3.0888888888888459</v>
      </c>
      <c r="AA14" s="1">
        <v>3.0888888888888459</v>
      </c>
      <c r="AB14" s="1">
        <f t="shared" si="12"/>
        <v>9.54123456790097</v>
      </c>
      <c r="AC14" s="1">
        <f t="shared" si="13"/>
        <v>2.1845041647021541</v>
      </c>
    </row>
    <row r="15" spans="1:29" x14ac:dyDescent="0.35">
      <c r="A15" s="1">
        <v>14</v>
      </c>
      <c r="B15" s="1">
        <v>5</v>
      </c>
      <c r="C15" s="1">
        <v>88.5</v>
      </c>
      <c r="G15" s="1">
        <v>14</v>
      </c>
      <c r="H15" s="1">
        <v>55</v>
      </c>
      <c r="I15" s="1">
        <f t="shared" si="0"/>
        <v>63.333333333333336</v>
      </c>
      <c r="J15">
        <f t="shared" si="0"/>
        <v>63.333333333333336</v>
      </c>
      <c r="K15" s="1">
        <f t="shared" si="2"/>
        <v>63.333333333333336</v>
      </c>
      <c r="L15" s="1">
        <f t="shared" si="3"/>
        <v>0</v>
      </c>
      <c r="M15" s="1">
        <f t="shared" si="6"/>
        <v>64.444444444444457</v>
      </c>
      <c r="N15" s="1">
        <f t="shared" si="7"/>
        <v>-9.4444444444444571</v>
      </c>
      <c r="O15" s="1">
        <v>9.4444444444444571</v>
      </c>
      <c r="P15" s="1">
        <f t="shared" si="8"/>
        <v>89.197530864197773</v>
      </c>
      <c r="Q15" s="1">
        <f t="shared" si="9"/>
        <v>17.171717171717194</v>
      </c>
      <c r="S15" s="1">
        <v>14</v>
      </c>
      <c r="T15" s="1">
        <v>138.5</v>
      </c>
      <c r="U15" s="1">
        <f t="shared" si="1"/>
        <v>140.16666666666666</v>
      </c>
      <c r="V15" s="1">
        <f t="shared" si="1"/>
        <v>138.13333333333333</v>
      </c>
      <c r="W15" s="1">
        <f t="shared" si="4"/>
        <v>142.19999999999999</v>
      </c>
      <c r="X15" s="1">
        <f t="shared" si="5"/>
        <v>2.0333333333333314</v>
      </c>
      <c r="Y15" s="1">
        <f t="shared" si="10"/>
        <v>141.16666666666666</v>
      </c>
      <c r="Z15" s="1">
        <f t="shared" si="11"/>
        <v>-2.6666666666666572</v>
      </c>
      <c r="AA15" s="1">
        <v>2.6666666666666572</v>
      </c>
      <c r="AB15" s="1">
        <f t="shared" si="12"/>
        <v>7.111111111111061</v>
      </c>
      <c r="AC15" s="1">
        <f t="shared" si="13"/>
        <v>1.9253910950661783</v>
      </c>
    </row>
    <row r="16" spans="1:29" x14ac:dyDescent="0.35">
      <c r="A16" s="1">
        <v>15</v>
      </c>
      <c r="B16" s="1">
        <v>10</v>
      </c>
      <c r="C16" s="1">
        <v>93.5</v>
      </c>
      <c r="G16" s="1">
        <v>15</v>
      </c>
      <c r="H16" s="1">
        <v>60</v>
      </c>
      <c r="I16" s="1">
        <f t="shared" si="0"/>
        <v>60</v>
      </c>
      <c r="J16">
        <f t="shared" si="0"/>
        <v>62.222222222222229</v>
      </c>
      <c r="K16" s="1">
        <f t="shared" si="2"/>
        <v>57.777777777777771</v>
      </c>
      <c r="L16" s="1">
        <f t="shared" si="3"/>
        <v>-2.2222222222222285</v>
      </c>
      <c r="M16" s="1">
        <f t="shared" si="6"/>
        <v>63.333333333333336</v>
      </c>
      <c r="N16" s="1">
        <f t="shared" si="7"/>
        <v>-3.3333333333333357</v>
      </c>
      <c r="O16" s="1">
        <v>3.3333333333333357</v>
      </c>
      <c r="P16" s="1">
        <f t="shared" si="8"/>
        <v>11.111111111111127</v>
      </c>
      <c r="Q16" s="1">
        <f t="shared" si="9"/>
        <v>5.5555555555555598</v>
      </c>
      <c r="S16" s="1">
        <v>15</v>
      </c>
      <c r="T16" s="1">
        <v>143.5</v>
      </c>
      <c r="U16" s="1">
        <f t="shared" si="1"/>
        <v>141.13333333333333</v>
      </c>
      <c r="V16" s="1">
        <f t="shared" si="1"/>
        <v>139.75555555555556</v>
      </c>
      <c r="W16" s="1">
        <f t="shared" si="4"/>
        <v>142.51111111111109</v>
      </c>
      <c r="X16" s="1">
        <f t="shared" si="5"/>
        <v>1.3777777777777658</v>
      </c>
      <c r="Y16" s="1">
        <f t="shared" si="10"/>
        <v>144.23333333333332</v>
      </c>
      <c r="Z16" s="1">
        <f t="shared" si="11"/>
        <v>-0.73333333333332007</v>
      </c>
      <c r="AA16" s="1">
        <v>0.73333333333332007</v>
      </c>
      <c r="AB16" s="1">
        <f t="shared" si="12"/>
        <v>0.53777777777775837</v>
      </c>
      <c r="AC16" s="1">
        <f t="shared" si="13"/>
        <v>0.51103368176537978</v>
      </c>
    </row>
    <row r="17" spans="1:29" x14ac:dyDescent="0.35">
      <c r="A17" s="1">
        <v>16</v>
      </c>
      <c r="B17" s="1">
        <v>25</v>
      </c>
      <c r="C17" s="1">
        <v>105</v>
      </c>
      <c r="G17" s="1">
        <v>16</v>
      </c>
      <c r="H17" s="1">
        <v>75</v>
      </c>
      <c r="I17" s="1">
        <f t="shared" si="0"/>
        <v>63.333333333333336</v>
      </c>
      <c r="J17">
        <f t="shared" si="0"/>
        <v>62.222222222222229</v>
      </c>
      <c r="K17" s="1">
        <f t="shared" si="2"/>
        <v>64.444444444444443</v>
      </c>
      <c r="L17" s="1">
        <f t="shared" si="3"/>
        <v>1.1111111111111072</v>
      </c>
      <c r="M17" s="1">
        <f t="shared" si="6"/>
        <v>55.555555555555543</v>
      </c>
      <c r="N17" s="1">
        <f t="shared" si="7"/>
        <v>19.444444444444457</v>
      </c>
      <c r="O17" s="1">
        <v>19.444444444444457</v>
      </c>
      <c r="P17" s="1">
        <f t="shared" si="8"/>
        <v>378.08641975308689</v>
      </c>
      <c r="Q17" s="1">
        <f t="shared" si="9"/>
        <v>25.925925925925942</v>
      </c>
      <c r="S17" s="1">
        <v>16</v>
      </c>
      <c r="T17" s="1">
        <v>155</v>
      </c>
      <c r="U17" s="1">
        <f t="shared" si="1"/>
        <v>145.66666666666666</v>
      </c>
      <c r="V17" s="1">
        <f t="shared" si="1"/>
        <v>142.32222222222219</v>
      </c>
      <c r="W17" s="1">
        <f t="shared" si="4"/>
        <v>149.01111111111112</v>
      </c>
      <c r="X17" s="1">
        <f t="shared" si="5"/>
        <v>3.3444444444444628</v>
      </c>
      <c r="Y17" s="1">
        <f t="shared" si="10"/>
        <v>143.88888888888886</v>
      </c>
      <c r="Z17" s="1">
        <f t="shared" si="11"/>
        <v>11.111111111111143</v>
      </c>
      <c r="AA17" s="1">
        <v>11.111111111111143</v>
      </c>
      <c r="AB17" s="1">
        <f t="shared" si="12"/>
        <v>123.45679012345749</v>
      </c>
      <c r="AC17" s="1">
        <f t="shared" si="13"/>
        <v>7.1684587813620277</v>
      </c>
    </row>
    <row r="18" spans="1:29" x14ac:dyDescent="0.35">
      <c r="A18" s="1">
        <v>17</v>
      </c>
      <c r="B18" s="1">
        <v>15</v>
      </c>
      <c r="C18" s="1">
        <v>103.5</v>
      </c>
      <c r="G18" s="1">
        <v>17</v>
      </c>
      <c r="H18" s="1">
        <v>65</v>
      </c>
      <c r="I18" s="1">
        <f t="shared" si="0"/>
        <v>66.666666666666671</v>
      </c>
      <c r="J18">
        <f t="shared" si="0"/>
        <v>63.333333333333336</v>
      </c>
      <c r="K18" s="1">
        <f t="shared" si="2"/>
        <v>70</v>
      </c>
      <c r="L18" s="1">
        <f t="shared" si="3"/>
        <v>3.3333333333333357</v>
      </c>
      <c r="M18" s="1">
        <f t="shared" si="6"/>
        <v>65.555555555555543</v>
      </c>
      <c r="N18" s="1">
        <f t="shared" si="7"/>
        <v>-0.55555555555554292</v>
      </c>
      <c r="O18" s="1">
        <v>0.55555555555554292</v>
      </c>
      <c r="P18" s="1">
        <f t="shared" si="8"/>
        <v>0.30864197530862791</v>
      </c>
      <c r="Q18" s="1">
        <f t="shared" si="9"/>
        <v>0.85470085470083523</v>
      </c>
      <c r="S18" s="1">
        <v>17</v>
      </c>
      <c r="T18" s="1">
        <v>153.5</v>
      </c>
      <c r="U18" s="1">
        <f t="shared" si="1"/>
        <v>150.66666666666666</v>
      </c>
      <c r="V18" s="1">
        <f t="shared" si="1"/>
        <v>145.82222222222219</v>
      </c>
      <c r="W18" s="1">
        <f t="shared" si="4"/>
        <v>155.51111111111112</v>
      </c>
      <c r="X18" s="1">
        <f t="shared" si="5"/>
        <v>4.8444444444444628</v>
      </c>
      <c r="Y18" s="1">
        <f t="shared" si="10"/>
        <v>152.35555555555558</v>
      </c>
      <c r="Z18" s="1">
        <f t="shared" si="11"/>
        <v>1.1444444444444173</v>
      </c>
      <c r="AA18" s="1">
        <v>1.1444444444444173</v>
      </c>
      <c r="AB18" s="1">
        <f t="shared" si="12"/>
        <v>1.3097530864196909</v>
      </c>
      <c r="AC18" s="1">
        <f t="shared" si="13"/>
        <v>0.74556641331883866</v>
      </c>
    </row>
    <row r="19" spans="1:29" x14ac:dyDescent="0.35">
      <c r="A19" s="1">
        <v>18</v>
      </c>
      <c r="B19" s="1">
        <v>5</v>
      </c>
      <c r="C19" s="1">
        <v>99.6</v>
      </c>
      <c r="G19" s="1">
        <v>18</v>
      </c>
      <c r="H19" s="1">
        <v>55</v>
      </c>
      <c r="I19" s="1">
        <f t="shared" si="0"/>
        <v>65</v>
      </c>
      <c r="J19">
        <f t="shared" si="0"/>
        <v>65</v>
      </c>
      <c r="K19" s="1">
        <f t="shared" si="2"/>
        <v>65</v>
      </c>
      <c r="L19" s="1">
        <f t="shared" si="3"/>
        <v>0</v>
      </c>
      <c r="M19" s="1">
        <f t="shared" si="6"/>
        <v>73.333333333333343</v>
      </c>
      <c r="N19" s="1">
        <f t="shared" si="7"/>
        <v>-18.333333333333343</v>
      </c>
      <c r="O19" s="1">
        <v>18.333333333333343</v>
      </c>
      <c r="P19" s="1">
        <f t="shared" si="8"/>
        <v>336.11111111111148</v>
      </c>
      <c r="Q19" s="1">
        <f t="shared" si="9"/>
        <v>33.33333333333335</v>
      </c>
      <c r="S19" s="1">
        <v>18</v>
      </c>
      <c r="T19" s="1">
        <v>149.6</v>
      </c>
      <c r="U19" s="1">
        <f t="shared" si="1"/>
        <v>152.70000000000002</v>
      </c>
      <c r="V19" s="1">
        <f t="shared" si="1"/>
        <v>149.67777777777778</v>
      </c>
      <c r="W19" s="1">
        <f t="shared" si="4"/>
        <v>155.72222222222226</v>
      </c>
      <c r="X19" s="1">
        <f t="shared" si="5"/>
        <v>3.0222222222222399</v>
      </c>
      <c r="Y19" s="1">
        <f t="shared" si="10"/>
        <v>160.35555555555558</v>
      </c>
      <c r="Z19" s="1">
        <f t="shared" si="11"/>
        <v>-10.755555555555588</v>
      </c>
      <c r="AA19" s="1">
        <v>10.755555555555588</v>
      </c>
      <c r="AB19" s="1">
        <f t="shared" si="12"/>
        <v>115.68197530864268</v>
      </c>
      <c r="AC19" s="1">
        <f t="shared" si="13"/>
        <v>7.1895424836601523</v>
      </c>
    </row>
    <row r="20" spans="1:29" x14ac:dyDescent="0.35">
      <c r="A20" s="1">
        <v>19</v>
      </c>
      <c r="B20" s="1">
        <v>15</v>
      </c>
      <c r="C20" s="1">
        <v>107.1</v>
      </c>
      <c r="G20" s="1">
        <v>19</v>
      </c>
      <c r="H20" s="1">
        <v>65</v>
      </c>
      <c r="I20" s="1">
        <f t="shared" si="0"/>
        <v>61.666666666666664</v>
      </c>
      <c r="J20">
        <f t="shared" si="0"/>
        <v>64.444444444444443</v>
      </c>
      <c r="K20" s="1">
        <f t="shared" si="2"/>
        <v>58.888888888888886</v>
      </c>
      <c r="L20" s="1">
        <f t="shared" si="3"/>
        <v>-2.7777777777777786</v>
      </c>
      <c r="M20" s="1">
        <f t="shared" si="6"/>
        <v>65</v>
      </c>
      <c r="N20" s="1">
        <f t="shared" si="7"/>
        <v>0</v>
      </c>
      <c r="O20" s="1">
        <v>0</v>
      </c>
      <c r="P20" s="1">
        <f t="shared" si="8"/>
        <v>0</v>
      </c>
      <c r="Q20" s="1">
        <f t="shared" si="9"/>
        <v>0</v>
      </c>
      <c r="S20" s="1">
        <v>19</v>
      </c>
      <c r="T20" s="1">
        <v>157.1</v>
      </c>
      <c r="U20" s="1">
        <f t="shared" si="1"/>
        <v>153.4</v>
      </c>
      <c r="V20" s="1">
        <f t="shared" si="1"/>
        <v>152.25555555555556</v>
      </c>
      <c r="W20" s="1">
        <f t="shared" si="4"/>
        <v>154.54444444444445</v>
      </c>
      <c r="X20" s="1">
        <f t="shared" si="5"/>
        <v>1.1444444444444457</v>
      </c>
      <c r="Y20" s="1">
        <f t="shared" si="10"/>
        <v>158.7444444444445</v>
      </c>
      <c r="Z20" s="1">
        <f t="shared" si="11"/>
        <v>-1.6444444444445026</v>
      </c>
      <c r="AA20" s="1">
        <v>1.6444444444445026</v>
      </c>
      <c r="AB20" s="1">
        <f t="shared" si="12"/>
        <v>2.7041975308643886</v>
      </c>
      <c r="AC20" s="1">
        <f t="shared" si="13"/>
        <v>1.0467501237711665</v>
      </c>
    </row>
    <row r="21" spans="1:29" x14ac:dyDescent="0.35">
      <c r="A21" s="1">
        <v>20</v>
      </c>
      <c r="B21" s="1">
        <v>20</v>
      </c>
      <c r="C21" s="1">
        <v>110.9</v>
      </c>
      <c r="G21" s="1">
        <v>20</v>
      </c>
      <c r="H21" s="1">
        <v>70</v>
      </c>
      <c r="I21" s="1">
        <f t="shared" si="0"/>
        <v>63.333333333333336</v>
      </c>
      <c r="J21">
        <f t="shared" si="0"/>
        <v>63.333333333333336</v>
      </c>
      <c r="K21" s="1">
        <f t="shared" si="2"/>
        <v>63.333333333333336</v>
      </c>
      <c r="L21" s="1">
        <f t="shared" si="3"/>
        <v>0</v>
      </c>
      <c r="M21" s="1">
        <f t="shared" si="6"/>
        <v>56.111111111111107</v>
      </c>
      <c r="N21" s="1">
        <f t="shared" si="7"/>
        <v>13.888888888888893</v>
      </c>
      <c r="O21" s="1">
        <v>13.888888888888893</v>
      </c>
      <c r="P21" s="1">
        <f t="shared" si="8"/>
        <v>192.90123456790135</v>
      </c>
      <c r="Q21" s="1">
        <f t="shared" si="9"/>
        <v>19.841269841269845</v>
      </c>
      <c r="S21" s="1">
        <v>20</v>
      </c>
      <c r="T21" s="1">
        <v>160.9</v>
      </c>
      <c r="U21" s="1">
        <f t="shared" si="1"/>
        <v>155.86666666666667</v>
      </c>
      <c r="V21" s="1">
        <f t="shared" si="1"/>
        <v>153.98888888888891</v>
      </c>
      <c r="W21" s="1">
        <f t="shared" si="4"/>
        <v>157.74444444444444</v>
      </c>
      <c r="X21" s="1">
        <f t="shared" si="5"/>
        <v>1.8777777777777658</v>
      </c>
      <c r="Y21" s="1">
        <f t="shared" si="10"/>
        <v>155.6888888888889</v>
      </c>
      <c r="Z21" s="1">
        <f t="shared" si="11"/>
        <v>5.2111111111111086</v>
      </c>
      <c r="AA21" s="1">
        <v>5.2111111111111086</v>
      </c>
      <c r="AB21" s="1">
        <f t="shared" si="12"/>
        <v>27.155679012345654</v>
      </c>
      <c r="AC21" s="1">
        <f t="shared" si="13"/>
        <v>3.238726607278501</v>
      </c>
    </row>
    <row r="22" spans="1:29" x14ac:dyDescent="0.35">
      <c r="A22" s="1">
        <v>21</v>
      </c>
      <c r="B22" s="1">
        <v>25</v>
      </c>
      <c r="C22" s="1">
        <v>114.7</v>
      </c>
      <c r="G22" s="1">
        <v>21</v>
      </c>
      <c r="H22" s="1">
        <v>75</v>
      </c>
      <c r="I22" s="1">
        <f t="shared" si="0"/>
        <v>70</v>
      </c>
      <c r="J22">
        <f t="shared" si="0"/>
        <v>65</v>
      </c>
      <c r="K22" s="1">
        <f t="shared" si="2"/>
        <v>75</v>
      </c>
      <c r="L22" s="1">
        <f t="shared" si="3"/>
        <v>5</v>
      </c>
      <c r="M22" s="1">
        <f t="shared" si="6"/>
        <v>63.333333333333336</v>
      </c>
      <c r="N22" s="1">
        <f t="shared" si="7"/>
        <v>11.666666666666664</v>
      </c>
      <c r="O22" s="1">
        <v>11.666666666666664</v>
      </c>
      <c r="P22" s="1">
        <f t="shared" si="8"/>
        <v>136.11111111111106</v>
      </c>
      <c r="Q22" s="1">
        <f t="shared" si="9"/>
        <v>15.555555555555554</v>
      </c>
      <c r="S22" s="1">
        <v>21</v>
      </c>
      <c r="T22" s="1">
        <v>164.7</v>
      </c>
      <c r="U22" s="1">
        <f t="shared" si="1"/>
        <v>160.9</v>
      </c>
      <c r="V22" s="1">
        <f t="shared" si="1"/>
        <v>156.7222222222222</v>
      </c>
      <c r="W22" s="1">
        <f t="shared" si="4"/>
        <v>165.07777777777781</v>
      </c>
      <c r="X22" s="1">
        <f t="shared" si="5"/>
        <v>4.1777777777778056</v>
      </c>
      <c r="Y22" s="1">
        <f t="shared" si="10"/>
        <v>159.62222222222221</v>
      </c>
      <c r="Z22" s="1">
        <f t="shared" si="11"/>
        <v>5.0777777777777828</v>
      </c>
      <c r="AA22" s="1">
        <v>5.0777777777777828</v>
      </c>
      <c r="AB22" s="1">
        <f t="shared" si="12"/>
        <v>25.783827160493878</v>
      </c>
      <c r="AC22" s="1">
        <f t="shared" si="13"/>
        <v>3.0830466167442521</v>
      </c>
    </row>
    <row r="23" spans="1:29" x14ac:dyDescent="0.35">
      <c r="A23" s="1">
        <v>22</v>
      </c>
      <c r="B23" s="1">
        <v>15</v>
      </c>
      <c r="C23" s="1">
        <v>112.1</v>
      </c>
      <c r="G23" s="1">
        <v>22</v>
      </c>
      <c r="H23" s="1">
        <v>65</v>
      </c>
      <c r="I23" s="1">
        <f t="shared" si="0"/>
        <v>70</v>
      </c>
      <c r="J23">
        <f t="shared" si="0"/>
        <v>67.777777777777786</v>
      </c>
      <c r="K23" s="1">
        <f t="shared" si="2"/>
        <v>72.222222222222214</v>
      </c>
      <c r="L23" s="1">
        <f t="shared" si="3"/>
        <v>2.2222222222222143</v>
      </c>
      <c r="M23" s="1">
        <f t="shared" si="6"/>
        <v>80</v>
      </c>
      <c r="N23" s="1">
        <f t="shared" si="7"/>
        <v>-15</v>
      </c>
      <c r="O23" s="1">
        <v>15</v>
      </c>
      <c r="P23" s="1">
        <f t="shared" si="8"/>
        <v>225</v>
      </c>
      <c r="Q23" s="1">
        <f t="shared" si="9"/>
        <v>23.076923076923077</v>
      </c>
      <c r="S23" s="1">
        <v>22</v>
      </c>
      <c r="T23" s="1">
        <v>162.1</v>
      </c>
      <c r="U23" s="1">
        <f t="shared" si="1"/>
        <v>162.56666666666669</v>
      </c>
      <c r="V23" s="1">
        <f t="shared" si="1"/>
        <v>159.7777777777778</v>
      </c>
      <c r="W23" s="1">
        <f t="shared" si="4"/>
        <v>165.35555555555558</v>
      </c>
      <c r="X23" s="1">
        <f t="shared" si="5"/>
        <v>2.7888888888888914</v>
      </c>
      <c r="Y23" s="1">
        <f t="shared" si="10"/>
        <v>169.25555555555562</v>
      </c>
      <c r="Z23" s="1">
        <f t="shared" si="11"/>
        <v>-7.1555555555556225</v>
      </c>
      <c r="AA23" s="1">
        <v>7.1555555555556225</v>
      </c>
      <c r="AB23" s="1">
        <f t="shared" si="12"/>
        <v>51.201975308642936</v>
      </c>
      <c r="AC23" s="1">
        <f t="shared" si="13"/>
        <v>4.4142847350744123</v>
      </c>
    </row>
    <row r="24" spans="1:29" x14ac:dyDescent="0.35">
      <c r="A24" s="1">
        <v>23</v>
      </c>
      <c r="B24" s="1">
        <v>0</v>
      </c>
      <c r="C24" s="1">
        <v>105.5</v>
      </c>
      <c r="G24" s="1">
        <v>23</v>
      </c>
      <c r="H24" s="1">
        <v>50</v>
      </c>
      <c r="I24" s="1">
        <f t="shared" si="0"/>
        <v>63.333333333333336</v>
      </c>
      <c r="J24">
        <f t="shared" si="0"/>
        <v>67.777777777777786</v>
      </c>
      <c r="K24" s="1">
        <f t="shared" si="2"/>
        <v>58.888888888888886</v>
      </c>
      <c r="L24" s="1">
        <f t="shared" si="3"/>
        <v>-4.44444444444445</v>
      </c>
      <c r="M24" s="1">
        <f t="shared" si="6"/>
        <v>74.444444444444429</v>
      </c>
      <c r="N24" s="1">
        <f t="shared" si="7"/>
        <v>-24.444444444444429</v>
      </c>
      <c r="O24" s="1">
        <v>24.444444444444429</v>
      </c>
      <c r="P24" s="1">
        <f t="shared" si="8"/>
        <v>597.53086419753004</v>
      </c>
      <c r="Q24" s="1">
        <f t="shared" si="9"/>
        <v>48.888888888888857</v>
      </c>
      <c r="S24" s="1">
        <v>23</v>
      </c>
      <c r="T24" s="1">
        <v>155.5</v>
      </c>
      <c r="U24" s="1">
        <f t="shared" si="1"/>
        <v>160.76666666666665</v>
      </c>
      <c r="V24" s="1">
        <f t="shared" si="1"/>
        <v>161.41111111111113</v>
      </c>
      <c r="W24" s="1">
        <f t="shared" si="4"/>
        <v>160.12222222222218</v>
      </c>
      <c r="X24" s="1">
        <f t="shared" si="5"/>
        <v>-0.64444444444447413</v>
      </c>
      <c r="Y24" s="1">
        <f t="shared" si="10"/>
        <v>168.14444444444447</v>
      </c>
      <c r="Z24" s="1">
        <f t="shared" si="11"/>
        <v>-12.644444444444474</v>
      </c>
      <c r="AA24" s="1">
        <v>12.644444444444474</v>
      </c>
      <c r="AB24" s="1">
        <f t="shared" si="12"/>
        <v>159.88197530864272</v>
      </c>
      <c r="AC24" s="1">
        <f t="shared" si="13"/>
        <v>8.1314755269739383</v>
      </c>
    </row>
    <row r="25" spans="1:29" x14ac:dyDescent="0.35">
      <c r="A25" s="1">
        <v>24</v>
      </c>
      <c r="B25" s="1">
        <v>5</v>
      </c>
      <c r="C25" s="1">
        <v>110.9</v>
      </c>
      <c r="G25" s="1">
        <v>24</v>
      </c>
      <c r="H25" s="1">
        <v>55</v>
      </c>
      <c r="I25" s="1">
        <f t="shared" si="0"/>
        <v>56.666666666666664</v>
      </c>
      <c r="J25">
        <f t="shared" si="0"/>
        <v>63.333333333333336</v>
      </c>
      <c r="K25" s="1">
        <f t="shared" si="2"/>
        <v>49.999999999999993</v>
      </c>
      <c r="L25" s="1">
        <f t="shared" si="3"/>
        <v>-6.6666666666666714</v>
      </c>
      <c r="M25" s="1">
        <f t="shared" si="6"/>
        <v>54.444444444444436</v>
      </c>
      <c r="N25" s="1">
        <f t="shared" si="7"/>
        <v>0.55555555555556424</v>
      </c>
      <c r="O25" s="1">
        <v>0.55555555555556424</v>
      </c>
      <c r="P25" s="1">
        <f t="shared" si="8"/>
        <v>0.30864197530865162</v>
      </c>
      <c r="Q25" s="1">
        <f t="shared" si="9"/>
        <v>1.0101010101010259</v>
      </c>
      <c r="S25" s="1">
        <v>24</v>
      </c>
      <c r="T25" s="1">
        <v>160.9</v>
      </c>
      <c r="U25" s="1">
        <f t="shared" si="1"/>
        <v>159.5</v>
      </c>
      <c r="V25" s="1">
        <f t="shared" si="1"/>
        <v>160.94444444444446</v>
      </c>
      <c r="W25" s="1">
        <f t="shared" si="4"/>
        <v>158.05555555555554</v>
      </c>
      <c r="X25" s="1">
        <f t="shared" si="5"/>
        <v>-1.4444444444444571</v>
      </c>
      <c r="Y25" s="1">
        <f t="shared" si="10"/>
        <v>159.4777777777777</v>
      </c>
      <c r="Z25" s="1">
        <f t="shared" si="11"/>
        <v>1.4222222222223024</v>
      </c>
      <c r="AA25" s="1">
        <v>1.4222222222223024</v>
      </c>
      <c r="AB25" s="1">
        <f t="shared" si="12"/>
        <v>2.0227160493829444</v>
      </c>
      <c r="AC25" s="1">
        <f t="shared" si="13"/>
        <v>0.8839168565707286</v>
      </c>
    </row>
    <row r="26" spans="1:29" x14ac:dyDescent="0.35">
      <c r="S26" s="1"/>
    </row>
    <row r="27" spans="1:29" x14ac:dyDescent="0.35">
      <c r="O27" s="1">
        <f>AVERAGE(_xlfn.ANCHORARRAY(O7))</f>
        <v>9.6783625730994132</v>
      </c>
      <c r="P27" s="1">
        <f>AVERAGE(P7:P25)</f>
        <v>142.51137102014292</v>
      </c>
      <c r="Q27" s="1">
        <f>AVERAGE(Q7:Q25)</f>
        <v>15.927279348331979</v>
      </c>
      <c r="AA27" s="1">
        <f>AVERAGE(_xlfn.ANCHORARRAY(AA7))</f>
        <v>5.094736842105271</v>
      </c>
      <c r="AB27" s="1">
        <f>AVERAGE(AB7:AB25)</f>
        <v>38.349161793372474</v>
      </c>
      <c r="AC27" s="1">
        <f>AVERAGE(AC7:AC25)</f>
        <v>3.471352708779933</v>
      </c>
    </row>
    <row r="28" spans="1:29" x14ac:dyDescent="0.35">
      <c r="O28" s="1" t="s">
        <v>8</v>
      </c>
      <c r="P28" s="1" t="s">
        <v>9</v>
      </c>
      <c r="Q28" s="1" t="s">
        <v>10</v>
      </c>
      <c r="AA28" s="1" t="s">
        <v>8</v>
      </c>
      <c r="AB28" s="1" t="s">
        <v>9</v>
      </c>
      <c r="AC28" s="1" t="s">
        <v>10</v>
      </c>
    </row>
    <row r="30" spans="1:29" x14ac:dyDescent="0.35">
      <c r="P30" s="1">
        <f>SQRT(P27)</f>
        <v>11.937812656435137</v>
      </c>
      <c r="AB30" s="1">
        <f>SQRT(AB27)</f>
        <v>6.1926700052055477</v>
      </c>
    </row>
    <row r="31" spans="1:29" x14ac:dyDescent="0.35">
      <c r="P31" s="1" t="s">
        <v>15</v>
      </c>
      <c r="AB3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7A72-B138-40B7-B27B-8232A2E8E665}">
  <dimension ref="A1:U31"/>
  <sheetViews>
    <sheetView topLeftCell="D1" zoomScale="65" workbookViewId="0">
      <selection activeCell="K27" sqref="K27:M31"/>
    </sheetView>
  </sheetViews>
  <sheetFormatPr defaultRowHeight="14.5" x14ac:dyDescent="0.35"/>
  <cols>
    <col min="1" max="8" width="8.7265625" style="1"/>
    <col min="9" max="9" width="23.1796875" style="1" customWidth="1"/>
    <col min="10" max="10" width="9.36328125" style="1" customWidth="1"/>
    <col min="11" max="11" width="12.36328125" style="1" customWidth="1"/>
    <col min="12" max="12" width="11.90625" style="1" customWidth="1"/>
    <col min="13" max="13" width="21.6328125" style="1" customWidth="1"/>
    <col min="14" max="14" width="9.453125" style="1" customWidth="1"/>
    <col min="15" max="15" width="8.7265625" style="3"/>
    <col min="16" max="16" width="10.08984375" style="1" customWidth="1"/>
    <col min="17" max="17" width="23.453125" style="1" customWidth="1"/>
    <col min="18" max="18" width="8.7265625" style="1"/>
    <col min="19" max="19" width="11.7265625" style="1" customWidth="1"/>
    <col min="20" max="20" width="11.26953125" style="1" customWidth="1"/>
    <col min="21" max="21" width="22.36328125" style="1" customWidth="1"/>
    <col min="22" max="16384" width="8.7265625" style="1"/>
  </cols>
  <sheetData>
    <row r="1" spans="1:21" ht="13.5" customHeight="1" x14ac:dyDescent="0.35">
      <c r="A1" s="1" t="s">
        <v>0</v>
      </c>
      <c r="B1" s="1" t="s">
        <v>1</v>
      </c>
      <c r="C1" s="1" t="s">
        <v>2</v>
      </c>
      <c r="E1" s="1">
        <v>50</v>
      </c>
      <c r="G1" s="1" t="s">
        <v>0</v>
      </c>
      <c r="H1" s="1" t="s">
        <v>1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O1" s="1" t="s">
        <v>0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1" x14ac:dyDescent="0.35">
      <c r="A2" s="1">
        <v>1</v>
      </c>
      <c r="B2" s="1">
        <v>25</v>
      </c>
      <c r="C2" s="1">
        <v>92.8</v>
      </c>
      <c r="G2" s="1">
        <v>1</v>
      </c>
      <c r="H2" s="1">
        <f>B2+$E$1</f>
        <v>75</v>
      </c>
      <c r="I2" s="1">
        <f>H2</f>
        <v>75</v>
      </c>
      <c r="O2" s="1">
        <v>1</v>
      </c>
      <c r="P2" s="1">
        <v>142.80000000000001</v>
      </c>
      <c r="Q2" s="1">
        <f>P2</f>
        <v>142.80000000000001</v>
      </c>
    </row>
    <row r="3" spans="1:21" x14ac:dyDescent="0.35">
      <c r="A3" s="1">
        <v>2</v>
      </c>
      <c r="B3" s="1">
        <v>0</v>
      </c>
      <c r="C3" s="1">
        <v>79.2</v>
      </c>
      <c r="G3" s="1">
        <v>2</v>
      </c>
      <c r="H3" s="1">
        <f>B3+$E$1</f>
        <v>50</v>
      </c>
      <c r="I3" s="1">
        <f>0.2*H2+0.8*I2</f>
        <v>75</v>
      </c>
      <c r="J3" s="1">
        <f>H3-I3</f>
        <v>-25</v>
      </c>
      <c r="K3" s="1" cm="1">
        <f t="array" ref="K3:K25">ABS(J3:J25)</f>
        <v>25</v>
      </c>
      <c r="L3" s="1">
        <f>K3^2</f>
        <v>625</v>
      </c>
      <c r="M3" s="1">
        <f>(K3/H3)*100</f>
        <v>50</v>
      </c>
      <c r="O3" s="1">
        <v>2</v>
      </c>
      <c r="P3" s="1">
        <v>129.19999999999999</v>
      </c>
      <c r="Q3" s="1">
        <f>0.2* P2+ 0.8*Q2</f>
        <v>142.80000000000001</v>
      </c>
      <c r="R3" s="1">
        <f>P3-Q3</f>
        <v>-13.600000000000023</v>
      </c>
      <c r="S3" s="1" cm="1">
        <f t="array" ref="S3:S25">ABS(R3:R25)</f>
        <v>13.600000000000023</v>
      </c>
      <c r="T3" s="1">
        <f>S3^2</f>
        <v>184.9600000000006</v>
      </c>
      <c r="U3" s="1">
        <f>(S3/P3)*100</f>
        <v>10.526315789473703</v>
      </c>
    </row>
    <row r="4" spans="1:21" x14ac:dyDescent="0.35">
      <c r="A4" s="1">
        <v>3</v>
      </c>
      <c r="B4" s="1">
        <v>15</v>
      </c>
      <c r="C4" s="1">
        <v>84.5</v>
      </c>
      <c r="G4" s="1">
        <v>3</v>
      </c>
      <c r="H4" s="1">
        <f>B4+$E$1</f>
        <v>65</v>
      </c>
      <c r="I4" s="1">
        <f t="shared" ref="I4:I25" si="0">0.2*H3+0.8*I3</f>
        <v>70</v>
      </c>
      <c r="J4" s="1">
        <f t="shared" ref="J4:J25" si="1">H4-I4</f>
        <v>-5</v>
      </c>
      <c r="K4" s="1">
        <v>5</v>
      </c>
      <c r="L4" s="1">
        <f t="shared" ref="L4:L25" si="2">K4^2</f>
        <v>25</v>
      </c>
      <c r="M4" s="1">
        <f t="shared" ref="M4:M25" si="3">(K4/H4)*100</f>
        <v>7.6923076923076925</v>
      </c>
      <c r="O4" s="1">
        <v>3</v>
      </c>
      <c r="P4" s="1">
        <v>134.5</v>
      </c>
      <c r="Q4" s="1">
        <f t="shared" ref="Q4:Q25" si="4">0.2* P3+ 0.8*Q3</f>
        <v>140.08000000000001</v>
      </c>
      <c r="R4" s="1">
        <f t="shared" ref="R4:R25" si="5">P4-Q4</f>
        <v>-5.5800000000000125</v>
      </c>
      <c r="S4" s="1">
        <v>5.5800000000000125</v>
      </c>
      <c r="T4" s="1">
        <f t="shared" ref="T4:T25" si="6">S4^2</f>
        <v>31.13640000000014</v>
      </c>
      <c r="U4" s="1">
        <f t="shared" ref="U4:U25" si="7">(S4/P4)*100</f>
        <v>4.1486988847583737</v>
      </c>
    </row>
    <row r="5" spans="1:21" x14ac:dyDescent="0.35">
      <c r="A5" s="1">
        <v>4</v>
      </c>
      <c r="B5" s="1">
        <v>10</v>
      </c>
      <c r="C5" s="1">
        <v>83</v>
      </c>
      <c r="G5" s="1">
        <v>4</v>
      </c>
      <c r="H5" s="1">
        <f>B5+$E$1</f>
        <v>60</v>
      </c>
      <c r="I5" s="1">
        <f t="shared" si="0"/>
        <v>69</v>
      </c>
      <c r="J5" s="1">
        <f t="shared" si="1"/>
        <v>-9</v>
      </c>
      <c r="K5" s="1">
        <v>9</v>
      </c>
      <c r="L5" s="1">
        <f t="shared" si="2"/>
        <v>81</v>
      </c>
      <c r="M5" s="1">
        <f t="shared" si="3"/>
        <v>15</v>
      </c>
      <c r="O5" s="1">
        <v>4</v>
      </c>
      <c r="P5" s="1">
        <v>133</v>
      </c>
      <c r="Q5" s="1">
        <f t="shared" si="4"/>
        <v>138.96400000000003</v>
      </c>
      <c r="R5" s="1">
        <f t="shared" si="5"/>
        <v>-5.9640000000000271</v>
      </c>
      <c r="S5" s="1">
        <v>5.9640000000000271</v>
      </c>
      <c r="T5" s="1">
        <f t="shared" si="6"/>
        <v>35.569296000000321</v>
      </c>
      <c r="U5" s="1">
        <f t="shared" si="7"/>
        <v>4.4842105263158096</v>
      </c>
    </row>
    <row r="6" spans="1:21" x14ac:dyDescent="0.35">
      <c r="A6" s="1">
        <v>5</v>
      </c>
      <c r="B6" s="1">
        <v>20</v>
      </c>
      <c r="C6" s="1">
        <v>88.1</v>
      </c>
      <c r="G6" s="1">
        <v>5</v>
      </c>
      <c r="H6" s="1">
        <f>B6+$E$1</f>
        <v>70</v>
      </c>
      <c r="I6" s="1">
        <f t="shared" si="0"/>
        <v>67.2</v>
      </c>
      <c r="J6" s="1">
        <f t="shared" si="1"/>
        <v>2.7999999999999972</v>
      </c>
      <c r="K6" s="1">
        <v>2.7999999999999972</v>
      </c>
      <c r="L6" s="1">
        <f t="shared" si="2"/>
        <v>7.8399999999999839</v>
      </c>
      <c r="M6" s="1">
        <f t="shared" si="3"/>
        <v>3.999999999999996</v>
      </c>
      <c r="O6" s="1">
        <v>5</v>
      </c>
      <c r="P6" s="1">
        <v>138.1</v>
      </c>
      <c r="Q6" s="1">
        <f t="shared" si="4"/>
        <v>137.77120000000002</v>
      </c>
      <c r="R6" s="1">
        <f t="shared" si="5"/>
        <v>0.32879999999997267</v>
      </c>
      <c r="S6" s="1">
        <v>0.32879999999997267</v>
      </c>
      <c r="T6" s="1">
        <f t="shared" si="6"/>
        <v>0.10810943999998203</v>
      </c>
      <c r="U6" s="1">
        <f t="shared" si="7"/>
        <v>0.23808834178129812</v>
      </c>
    </row>
    <row r="7" spans="1:21" x14ac:dyDescent="0.35">
      <c r="A7" s="1">
        <v>6</v>
      </c>
      <c r="B7" s="1">
        <v>10</v>
      </c>
      <c r="C7" s="1">
        <v>83.9</v>
      </c>
      <c r="G7" s="1">
        <v>6</v>
      </c>
      <c r="H7" s="1">
        <f>B7+$E$1</f>
        <v>60</v>
      </c>
      <c r="I7" s="1">
        <f t="shared" si="0"/>
        <v>67.760000000000005</v>
      </c>
      <c r="J7" s="1">
        <f t="shared" si="1"/>
        <v>-7.7600000000000051</v>
      </c>
      <c r="K7" s="1">
        <v>7.7600000000000051</v>
      </c>
      <c r="L7" s="1">
        <f t="shared" si="2"/>
        <v>60.217600000000083</v>
      </c>
      <c r="M7" s="1">
        <f t="shared" si="3"/>
        <v>12.933333333333341</v>
      </c>
      <c r="O7" s="1">
        <v>6</v>
      </c>
      <c r="P7" s="1">
        <v>133.9</v>
      </c>
      <c r="Q7" s="1">
        <f t="shared" si="4"/>
        <v>137.83696000000003</v>
      </c>
      <c r="R7" s="1">
        <f t="shared" si="5"/>
        <v>-3.9369600000000275</v>
      </c>
      <c r="S7" s="1">
        <v>3.9369600000000275</v>
      </c>
      <c r="T7" s="1">
        <f t="shared" si="6"/>
        <v>15.499654041600216</v>
      </c>
      <c r="U7" s="1">
        <f t="shared" si="7"/>
        <v>2.940224047796884</v>
      </c>
    </row>
    <row r="8" spans="1:21" x14ac:dyDescent="0.35">
      <c r="A8" s="1">
        <v>7</v>
      </c>
      <c r="B8" s="1">
        <v>5</v>
      </c>
      <c r="C8" s="1">
        <v>79.900000000000006</v>
      </c>
      <c r="G8" s="1">
        <v>7</v>
      </c>
      <c r="H8" s="1">
        <f>B8+$E$1</f>
        <v>55</v>
      </c>
      <c r="I8" s="1">
        <f t="shared" si="0"/>
        <v>66.207999999999998</v>
      </c>
      <c r="J8" s="1">
        <f t="shared" si="1"/>
        <v>-11.207999999999998</v>
      </c>
      <c r="K8" s="1">
        <v>11.207999999999998</v>
      </c>
      <c r="L8" s="1">
        <f t="shared" si="2"/>
        <v>125.61926399999996</v>
      </c>
      <c r="M8" s="1">
        <f t="shared" si="3"/>
        <v>20.378181818181815</v>
      </c>
      <c r="O8" s="1">
        <v>7</v>
      </c>
      <c r="P8" s="1">
        <v>129.9</v>
      </c>
      <c r="Q8" s="1">
        <f t="shared" si="4"/>
        <v>137.04956800000002</v>
      </c>
      <c r="R8" s="1">
        <f t="shared" si="5"/>
        <v>-7.1495680000000164</v>
      </c>
      <c r="S8" s="1">
        <v>7.1495680000000164</v>
      </c>
      <c r="T8" s="1">
        <f t="shared" si="6"/>
        <v>51.116322586624236</v>
      </c>
      <c r="U8" s="1">
        <f t="shared" si="7"/>
        <v>5.5039014626635998</v>
      </c>
    </row>
    <row r="9" spans="1:21" x14ac:dyDescent="0.35">
      <c r="A9" s="1">
        <v>8</v>
      </c>
      <c r="B9" s="1">
        <v>5</v>
      </c>
      <c r="C9" s="1">
        <v>81.099999999999994</v>
      </c>
      <c r="G9" s="1">
        <v>8</v>
      </c>
      <c r="H9" s="1">
        <f>B9+$E$1</f>
        <v>55</v>
      </c>
      <c r="I9" s="1">
        <f t="shared" si="0"/>
        <v>63.9664</v>
      </c>
      <c r="J9" s="1">
        <f t="shared" si="1"/>
        <v>-8.9664000000000001</v>
      </c>
      <c r="K9" s="1">
        <v>8.9664000000000001</v>
      </c>
      <c r="L9" s="1">
        <f t="shared" si="2"/>
        <v>80.396328960000005</v>
      </c>
      <c r="M9" s="1">
        <f t="shared" si="3"/>
        <v>16.302545454545456</v>
      </c>
      <c r="O9" s="1">
        <v>8</v>
      </c>
      <c r="P9" s="1">
        <v>131.1</v>
      </c>
      <c r="Q9" s="1">
        <f t="shared" si="4"/>
        <v>135.61965440000003</v>
      </c>
      <c r="R9" s="1">
        <f t="shared" si="5"/>
        <v>-4.5196544000000358</v>
      </c>
      <c r="S9" s="1">
        <v>4.5196544000000358</v>
      </c>
      <c r="T9" s="1">
        <f t="shared" si="6"/>
        <v>20.427275895439685</v>
      </c>
      <c r="U9" s="1">
        <f t="shared" si="7"/>
        <v>3.4474861937452603</v>
      </c>
    </row>
    <row r="10" spans="1:21" x14ac:dyDescent="0.35">
      <c r="A10" s="1">
        <v>9</v>
      </c>
      <c r="B10" s="1">
        <v>15</v>
      </c>
      <c r="C10" s="1">
        <v>86.4</v>
      </c>
      <c r="G10" s="1">
        <v>9</v>
      </c>
      <c r="H10" s="1">
        <f>B10+$E$1</f>
        <v>65</v>
      </c>
      <c r="I10" s="1">
        <f t="shared" si="0"/>
        <v>62.173120000000004</v>
      </c>
      <c r="J10" s="1">
        <f t="shared" si="1"/>
        <v>2.8268799999999956</v>
      </c>
      <c r="K10" s="1">
        <v>2.8268799999999956</v>
      </c>
      <c r="L10" s="1">
        <f t="shared" si="2"/>
        <v>7.9912505343999749</v>
      </c>
      <c r="M10" s="1">
        <f t="shared" si="3"/>
        <v>4.3490461538461469</v>
      </c>
      <c r="O10" s="1">
        <v>9</v>
      </c>
      <c r="P10" s="1">
        <v>136.4</v>
      </c>
      <c r="Q10" s="1">
        <f t="shared" si="4"/>
        <v>134.71572352000004</v>
      </c>
      <c r="R10" s="1">
        <f t="shared" si="5"/>
        <v>1.6842764799999657</v>
      </c>
      <c r="S10" s="1">
        <v>1.6842764799999657</v>
      </c>
      <c r="T10" s="1">
        <f t="shared" si="6"/>
        <v>2.8367872610810747</v>
      </c>
      <c r="U10" s="1">
        <f t="shared" si="7"/>
        <v>1.2348068035190363</v>
      </c>
    </row>
    <row r="11" spans="1:21" x14ac:dyDescent="0.35">
      <c r="A11" s="1">
        <v>10</v>
      </c>
      <c r="B11" s="1">
        <v>15</v>
      </c>
      <c r="C11" s="1">
        <v>86.3</v>
      </c>
      <c r="G11" s="1">
        <v>10</v>
      </c>
      <c r="H11" s="1">
        <f>B11+$E$1</f>
        <v>65</v>
      </c>
      <c r="I11" s="1">
        <f t="shared" si="0"/>
        <v>62.738496000000005</v>
      </c>
      <c r="J11" s="1">
        <f t="shared" si="1"/>
        <v>2.2615039999999951</v>
      </c>
      <c r="K11" s="1">
        <v>2.2615039999999951</v>
      </c>
      <c r="L11" s="1">
        <f t="shared" si="2"/>
        <v>5.114400342015978</v>
      </c>
      <c r="M11" s="1">
        <f t="shared" si="3"/>
        <v>3.4792369230769156</v>
      </c>
      <c r="O11" s="1">
        <v>10</v>
      </c>
      <c r="P11" s="1">
        <v>136.30000000000001</v>
      </c>
      <c r="Q11" s="1">
        <f t="shared" si="4"/>
        <v>135.05257881600005</v>
      </c>
      <c r="R11" s="1">
        <f t="shared" si="5"/>
        <v>1.2474211839999612</v>
      </c>
      <c r="S11" s="1">
        <v>1.2474211839999612</v>
      </c>
      <c r="T11" s="1">
        <f t="shared" si="6"/>
        <v>1.5560596102918649</v>
      </c>
      <c r="U11" s="1">
        <f t="shared" si="7"/>
        <v>0.9152026294937351</v>
      </c>
    </row>
    <row r="12" spans="1:21" x14ac:dyDescent="0.35">
      <c r="A12" s="1">
        <v>11</v>
      </c>
      <c r="B12" s="1">
        <v>5</v>
      </c>
      <c r="C12" s="1">
        <v>81.900000000000006</v>
      </c>
      <c r="G12" s="1">
        <v>11</v>
      </c>
      <c r="H12" s="1">
        <f>B12+$E$1</f>
        <v>55</v>
      </c>
      <c r="I12" s="1">
        <f t="shared" si="0"/>
        <v>63.190796800000008</v>
      </c>
      <c r="J12" s="1">
        <f t="shared" si="1"/>
        <v>-8.1907968000000082</v>
      </c>
      <c r="K12" s="1">
        <v>8.1907968000000082</v>
      </c>
      <c r="L12" s="1">
        <f t="shared" si="2"/>
        <v>67.089152218890376</v>
      </c>
      <c r="M12" s="1">
        <f t="shared" si="3"/>
        <v>14.892357818181834</v>
      </c>
      <c r="O12" s="1">
        <v>11</v>
      </c>
      <c r="P12" s="1">
        <v>131.9</v>
      </c>
      <c r="Q12" s="1">
        <f t="shared" si="4"/>
        <v>135.30206305280007</v>
      </c>
      <c r="R12" s="1">
        <f t="shared" si="5"/>
        <v>-3.4020630528000595</v>
      </c>
      <c r="S12" s="1">
        <v>3.4020630528000595</v>
      </c>
      <c r="T12" s="1">
        <f t="shared" si="6"/>
        <v>11.574033015227261</v>
      </c>
      <c r="U12" s="1">
        <f t="shared" si="7"/>
        <v>2.5792744903715388</v>
      </c>
    </row>
    <row r="13" spans="1:21" x14ac:dyDescent="0.35">
      <c r="A13" s="1">
        <v>12</v>
      </c>
      <c r="B13" s="1">
        <v>20</v>
      </c>
      <c r="C13" s="1">
        <v>90.6</v>
      </c>
      <c r="G13" s="1">
        <v>12</v>
      </c>
      <c r="H13" s="1">
        <f>B13+$E$1</f>
        <v>70</v>
      </c>
      <c r="I13" s="1">
        <f t="shared" si="0"/>
        <v>61.552637440000012</v>
      </c>
      <c r="J13" s="1">
        <f t="shared" si="1"/>
        <v>8.4473625599999878</v>
      </c>
      <c r="K13" s="1">
        <v>8.4473625599999878</v>
      </c>
      <c r="L13" s="1">
        <f t="shared" si="2"/>
        <v>71.357934220089547</v>
      </c>
      <c r="M13" s="1">
        <f t="shared" si="3"/>
        <v>12.067660799999983</v>
      </c>
      <c r="O13" s="1">
        <v>12</v>
      </c>
      <c r="P13" s="1">
        <v>140.6</v>
      </c>
      <c r="Q13" s="1">
        <f t="shared" si="4"/>
        <v>134.62165044224005</v>
      </c>
      <c r="R13" s="1">
        <f t="shared" si="5"/>
        <v>5.978349557759941</v>
      </c>
      <c r="S13" s="1">
        <v>5.978349557759941</v>
      </c>
      <c r="T13" s="1">
        <f t="shared" si="6"/>
        <v>35.740663434768486</v>
      </c>
      <c r="U13" s="1">
        <f t="shared" si="7"/>
        <v>4.2520267124892897</v>
      </c>
    </row>
    <row r="14" spans="1:21" x14ac:dyDescent="0.35">
      <c r="A14" s="1">
        <v>13</v>
      </c>
      <c r="B14" s="1">
        <v>15</v>
      </c>
      <c r="C14" s="1">
        <v>91.4</v>
      </c>
      <c r="G14" s="1">
        <v>13</v>
      </c>
      <c r="H14" s="1">
        <v>65</v>
      </c>
      <c r="I14" s="1">
        <f t="shared" si="0"/>
        <v>63.242109952000014</v>
      </c>
      <c r="J14" s="1">
        <f t="shared" si="1"/>
        <v>1.7578900479999859</v>
      </c>
      <c r="K14" s="1">
        <v>1.7578900479999859</v>
      </c>
      <c r="L14" s="1">
        <f t="shared" si="2"/>
        <v>3.0901774208573927</v>
      </c>
      <c r="M14" s="1">
        <f t="shared" si="3"/>
        <v>2.7044462276922863</v>
      </c>
      <c r="O14" s="1">
        <v>13</v>
      </c>
      <c r="P14" s="1">
        <v>141.4</v>
      </c>
      <c r="Q14" s="1">
        <f t="shared" si="4"/>
        <v>135.81732035379204</v>
      </c>
      <c r="R14" s="1">
        <f t="shared" si="5"/>
        <v>5.5826796462079642</v>
      </c>
      <c r="S14" s="1">
        <v>5.5826796462079642</v>
      </c>
      <c r="T14" s="1">
        <f t="shared" si="6"/>
        <v>31.166312032184681</v>
      </c>
      <c r="U14" s="1">
        <f t="shared" si="7"/>
        <v>3.9481468502177965</v>
      </c>
    </row>
    <row r="15" spans="1:21" x14ac:dyDescent="0.35">
      <c r="A15" s="1">
        <v>14</v>
      </c>
      <c r="B15" s="1">
        <v>5</v>
      </c>
      <c r="C15" s="1">
        <v>88.5</v>
      </c>
      <c r="G15" s="1">
        <v>14</v>
      </c>
      <c r="H15" s="1">
        <v>55</v>
      </c>
      <c r="I15" s="1">
        <f t="shared" si="0"/>
        <v>63.593687961600011</v>
      </c>
      <c r="J15" s="1">
        <f t="shared" si="1"/>
        <v>-8.5936879616000112</v>
      </c>
      <c r="K15" s="1">
        <v>8.5936879616000112</v>
      </c>
      <c r="L15" s="1">
        <f t="shared" si="2"/>
        <v>73.85147278134896</v>
      </c>
      <c r="M15" s="1">
        <f t="shared" si="3"/>
        <v>15.624887202909111</v>
      </c>
      <c r="O15" s="1">
        <v>14</v>
      </c>
      <c r="P15" s="1">
        <v>138.5</v>
      </c>
      <c r="Q15" s="1">
        <f t="shared" si="4"/>
        <v>136.93385628303363</v>
      </c>
      <c r="R15" s="1">
        <f t="shared" si="5"/>
        <v>1.5661437169663657</v>
      </c>
      <c r="S15" s="1">
        <v>1.5661437169663657</v>
      </c>
      <c r="T15" s="1">
        <f t="shared" si="6"/>
        <v>2.4528061421932237</v>
      </c>
      <c r="U15" s="1">
        <f t="shared" si="7"/>
        <v>1.1307896873403362</v>
      </c>
    </row>
    <row r="16" spans="1:21" x14ac:dyDescent="0.35">
      <c r="A16" s="1">
        <v>15</v>
      </c>
      <c r="B16" s="1">
        <v>10</v>
      </c>
      <c r="C16" s="1">
        <v>93.5</v>
      </c>
      <c r="G16" s="1">
        <v>15</v>
      </c>
      <c r="H16" s="1">
        <v>60</v>
      </c>
      <c r="I16" s="1">
        <f t="shared" si="0"/>
        <v>61.874950369280015</v>
      </c>
      <c r="J16" s="1">
        <f t="shared" si="1"/>
        <v>-1.8749503692800147</v>
      </c>
      <c r="K16" s="1">
        <v>1.8749503692800147</v>
      </c>
      <c r="L16" s="1">
        <f t="shared" si="2"/>
        <v>3.5154388872632634</v>
      </c>
      <c r="M16" s="1">
        <f t="shared" si="3"/>
        <v>3.124917282133358</v>
      </c>
      <c r="O16" s="1">
        <v>15</v>
      </c>
      <c r="P16" s="1">
        <v>143.5</v>
      </c>
      <c r="Q16" s="1">
        <f t="shared" si="4"/>
        <v>137.24708502642693</v>
      </c>
      <c r="R16" s="1">
        <f t="shared" si="5"/>
        <v>6.2529149735730698</v>
      </c>
      <c r="S16" s="1">
        <v>6.2529149735730698</v>
      </c>
      <c r="T16" s="1">
        <f t="shared" si="6"/>
        <v>39.098945666734302</v>
      </c>
      <c r="U16" s="1">
        <f t="shared" si="7"/>
        <v>4.3574320373331501</v>
      </c>
    </row>
    <row r="17" spans="1:21" x14ac:dyDescent="0.35">
      <c r="A17" s="1">
        <v>16</v>
      </c>
      <c r="B17" s="1">
        <v>25</v>
      </c>
      <c r="C17" s="1">
        <v>105</v>
      </c>
      <c r="G17" s="1">
        <v>16</v>
      </c>
      <c r="H17" s="1">
        <v>75</v>
      </c>
      <c r="I17" s="1">
        <f t="shared" si="0"/>
        <v>61.499960295424017</v>
      </c>
      <c r="J17" s="1">
        <f t="shared" si="1"/>
        <v>13.500039704575983</v>
      </c>
      <c r="K17" s="1">
        <v>13.500039704575983</v>
      </c>
      <c r="L17" s="1">
        <f t="shared" si="2"/>
        <v>182.251072025128</v>
      </c>
      <c r="M17" s="1">
        <f t="shared" si="3"/>
        <v>18.000052939434642</v>
      </c>
      <c r="O17" s="1">
        <v>16</v>
      </c>
      <c r="P17" s="1">
        <v>155</v>
      </c>
      <c r="Q17" s="1">
        <f t="shared" si="4"/>
        <v>138.49766802114155</v>
      </c>
      <c r="R17" s="1">
        <f t="shared" si="5"/>
        <v>16.50233197885845</v>
      </c>
      <c r="S17" s="1">
        <v>16.50233197885845</v>
      </c>
      <c r="T17" s="1">
        <f t="shared" si="6"/>
        <v>272.32696074045424</v>
      </c>
      <c r="U17" s="1">
        <f t="shared" si="7"/>
        <v>10.646665792811904</v>
      </c>
    </row>
    <row r="18" spans="1:21" x14ac:dyDescent="0.35">
      <c r="A18" s="1">
        <v>17</v>
      </c>
      <c r="B18" s="1">
        <v>15</v>
      </c>
      <c r="C18" s="1">
        <v>103.5</v>
      </c>
      <c r="G18" s="1">
        <v>17</v>
      </c>
      <c r="H18" s="1">
        <v>65</v>
      </c>
      <c r="I18" s="1">
        <f t="shared" si="0"/>
        <v>64.199968236339217</v>
      </c>
      <c r="J18" s="1">
        <f t="shared" si="1"/>
        <v>0.80003176366078321</v>
      </c>
      <c r="K18" s="1">
        <v>0.80003176366078321</v>
      </c>
      <c r="L18" s="1">
        <f t="shared" si="2"/>
        <v>0.64005082286618331</v>
      </c>
      <c r="M18" s="1">
        <f t="shared" si="3"/>
        <v>1.2308180979396666</v>
      </c>
      <c r="O18" s="1">
        <v>17</v>
      </c>
      <c r="P18" s="1">
        <v>153.5</v>
      </c>
      <c r="Q18" s="1">
        <f t="shared" si="4"/>
        <v>141.79813441691323</v>
      </c>
      <c r="R18" s="1">
        <f t="shared" si="5"/>
        <v>11.701865583086771</v>
      </c>
      <c r="S18" s="1">
        <v>11.701865583086771</v>
      </c>
      <c r="T18" s="1">
        <f t="shared" si="6"/>
        <v>136.93365812463071</v>
      </c>
      <c r="U18" s="1">
        <f t="shared" si="7"/>
        <v>7.6233652007079948</v>
      </c>
    </row>
    <row r="19" spans="1:21" x14ac:dyDescent="0.35">
      <c r="A19" s="1">
        <v>18</v>
      </c>
      <c r="B19" s="1">
        <v>5</v>
      </c>
      <c r="C19" s="1">
        <v>99.6</v>
      </c>
      <c r="G19" s="1">
        <v>18</v>
      </c>
      <c r="H19" s="1">
        <v>55</v>
      </c>
      <c r="I19" s="1">
        <f t="shared" si="0"/>
        <v>64.359974589071385</v>
      </c>
      <c r="J19" s="1">
        <f t="shared" si="1"/>
        <v>-9.3599745890713848</v>
      </c>
      <c r="K19" s="1">
        <v>9.3599745890713848</v>
      </c>
      <c r="L19" s="1">
        <f t="shared" si="2"/>
        <v>87.609124308062036</v>
      </c>
      <c r="M19" s="1">
        <f t="shared" si="3"/>
        <v>17.018135616493428</v>
      </c>
      <c r="O19" s="1">
        <v>18</v>
      </c>
      <c r="P19" s="1">
        <v>149.6</v>
      </c>
      <c r="Q19" s="1">
        <f t="shared" si="4"/>
        <v>144.13850753353057</v>
      </c>
      <c r="R19" s="1">
        <f t="shared" si="5"/>
        <v>5.4614924664694229</v>
      </c>
      <c r="S19" s="1">
        <v>5.4614924664694229</v>
      </c>
      <c r="T19" s="1">
        <f t="shared" si="6"/>
        <v>29.827899961302261</v>
      </c>
      <c r="U19" s="1">
        <f t="shared" si="7"/>
        <v>3.6507302583351762</v>
      </c>
    </row>
    <row r="20" spans="1:21" x14ac:dyDescent="0.35">
      <c r="A20" s="1">
        <v>19</v>
      </c>
      <c r="B20" s="1">
        <v>15</v>
      </c>
      <c r="C20" s="1">
        <v>107.1</v>
      </c>
      <c r="G20" s="1">
        <v>19</v>
      </c>
      <c r="H20" s="1">
        <v>65</v>
      </c>
      <c r="I20" s="1">
        <f t="shared" si="0"/>
        <v>62.487979671257108</v>
      </c>
      <c r="J20" s="1">
        <f t="shared" si="1"/>
        <v>2.5120203287428922</v>
      </c>
      <c r="K20" s="1">
        <v>2.5120203287428922</v>
      </c>
      <c r="L20" s="1">
        <f t="shared" si="2"/>
        <v>6.3102461320175482</v>
      </c>
      <c r="M20" s="1">
        <f t="shared" si="3"/>
        <v>3.8646466596044498</v>
      </c>
      <c r="O20" s="1">
        <v>19</v>
      </c>
      <c r="P20" s="1">
        <v>157.1</v>
      </c>
      <c r="Q20" s="1">
        <f t="shared" si="4"/>
        <v>145.23080602682447</v>
      </c>
      <c r="R20" s="1">
        <f t="shared" si="5"/>
        <v>11.869193973175527</v>
      </c>
      <c r="S20" s="1">
        <v>11.869193973175527</v>
      </c>
      <c r="T20" s="1">
        <f t="shared" si="6"/>
        <v>140.87776557286625</v>
      </c>
      <c r="U20" s="1">
        <f t="shared" si="7"/>
        <v>7.555183942186841</v>
      </c>
    </row>
    <row r="21" spans="1:21" x14ac:dyDescent="0.35">
      <c r="A21" s="1">
        <v>20</v>
      </c>
      <c r="B21" s="1">
        <v>20</v>
      </c>
      <c r="C21" s="1">
        <v>110.9</v>
      </c>
      <c r="G21" s="1">
        <v>20</v>
      </c>
      <c r="H21" s="1">
        <v>70</v>
      </c>
      <c r="I21" s="1">
        <f t="shared" si="0"/>
        <v>62.990383737005686</v>
      </c>
      <c r="J21" s="1">
        <f t="shared" si="1"/>
        <v>7.0096162629943137</v>
      </c>
      <c r="K21" s="1">
        <v>7.0096162629943137</v>
      </c>
      <c r="L21" s="1">
        <f t="shared" si="2"/>
        <v>49.134720154434369</v>
      </c>
      <c r="M21" s="1">
        <f t="shared" si="3"/>
        <v>10.013737518563305</v>
      </c>
      <c r="O21" s="1">
        <v>20</v>
      </c>
      <c r="P21" s="1">
        <v>160.9</v>
      </c>
      <c r="Q21" s="1">
        <f t="shared" si="4"/>
        <v>147.6046448214596</v>
      </c>
      <c r="R21" s="1">
        <f t="shared" si="5"/>
        <v>13.295355178540404</v>
      </c>
      <c r="S21" s="1">
        <v>13.295355178540404</v>
      </c>
      <c r="T21" s="1">
        <f t="shared" si="6"/>
        <v>176.76646932354114</v>
      </c>
      <c r="U21" s="1">
        <f t="shared" si="7"/>
        <v>8.2631169537230598</v>
      </c>
    </row>
    <row r="22" spans="1:21" x14ac:dyDescent="0.35">
      <c r="A22" s="1">
        <v>21</v>
      </c>
      <c r="B22" s="1">
        <v>25</v>
      </c>
      <c r="C22" s="1">
        <v>114.7</v>
      </c>
      <c r="G22" s="1">
        <v>21</v>
      </c>
      <c r="H22" s="1">
        <v>75</v>
      </c>
      <c r="I22" s="1">
        <f t="shared" si="0"/>
        <v>64.392306989604549</v>
      </c>
      <c r="J22" s="1">
        <f t="shared" si="1"/>
        <v>10.607693010395451</v>
      </c>
      <c r="K22" s="1">
        <v>10.607693010395451</v>
      </c>
      <c r="L22" s="1">
        <f t="shared" si="2"/>
        <v>112.5231510027925</v>
      </c>
      <c r="M22" s="1">
        <f t="shared" si="3"/>
        <v>14.143590680527268</v>
      </c>
      <c r="O22" s="1">
        <v>21</v>
      </c>
      <c r="P22" s="1">
        <v>164.7</v>
      </c>
      <c r="Q22" s="1">
        <f t="shared" si="4"/>
        <v>150.26371585716768</v>
      </c>
      <c r="R22" s="1">
        <f t="shared" si="5"/>
        <v>14.436284142832307</v>
      </c>
      <c r="S22" s="1">
        <v>14.436284142832307</v>
      </c>
      <c r="T22" s="1">
        <f t="shared" si="6"/>
        <v>208.4062998525915</v>
      </c>
      <c r="U22" s="1">
        <f t="shared" si="7"/>
        <v>8.7651998438568945</v>
      </c>
    </row>
    <row r="23" spans="1:21" x14ac:dyDescent="0.35">
      <c r="A23" s="1">
        <v>22</v>
      </c>
      <c r="B23" s="1">
        <v>15</v>
      </c>
      <c r="C23" s="1">
        <v>112.1</v>
      </c>
      <c r="G23" s="1">
        <v>22</v>
      </c>
      <c r="H23" s="1">
        <v>65</v>
      </c>
      <c r="I23" s="1">
        <f t="shared" si="0"/>
        <v>66.513845591683634</v>
      </c>
      <c r="J23" s="1">
        <f t="shared" si="1"/>
        <v>-1.5138455916836335</v>
      </c>
      <c r="K23" s="1">
        <v>1.5138455916836335</v>
      </c>
      <c r="L23" s="1">
        <f t="shared" si="2"/>
        <v>2.2917284754599705</v>
      </c>
      <c r="M23" s="1">
        <f t="shared" si="3"/>
        <v>2.328993217974821</v>
      </c>
      <c r="O23" s="1">
        <v>22</v>
      </c>
      <c r="P23" s="1">
        <v>162.1</v>
      </c>
      <c r="Q23" s="1">
        <f t="shared" si="4"/>
        <v>153.15097268573413</v>
      </c>
      <c r="R23" s="1">
        <f t="shared" si="5"/>
        <v>8.9490273142658623</v>
      </c>
      <c r="S23" s="1">
        <v>8.9490273142658623</v>
      </c>
      <c r="T23" s="1">
        <f t="shared" si="6"/>
        <v>80.08508987147647</v>
      </c>
      <c r="U23" s="1">
        <f t="shared" si="7"/>
        <v>5.5206831056544496</v>
      </c>
    </row>
    <row r="24" spans="1:21" x14ac:dyDescent="0.35">
      <c r="A24" s="1">
        <v>23</v>
      </c>
      <c r="B24" s="1">
        <v>0</v>
      </c>
      <c r="C24" s="1">
        <v>105.5</v>
      </c>
      <c r="G24" s="1">
        <v>23</v>
      </c>
      <c r="H24" s="1">
        <v>50</v>
      </c>
      <c r="I24" s="1">
        <f t="shared" si="0"/>
        <v>66.211076473346907</v>
      </c>
      <c r="J24" s="1">
        <f t="shared" si="1"/>
        <v>-16.211076473346907</v>
      </c>
      <c r="K24" s="1">
        <v>16.211076473346907</v>
      </c>
      <c r="L24" s="1">
        <f t="shared" si="2"/>
        <v>262.7990004247016</v>
      </c>
      <c r="M24" s="1">
        <f t="shared" si="3"/>
        <v>32.422152946693814</v>
      </c>
      <c r="O24" s="1">
        <v>23</v>
      </c>
      <c r="P24" s="1">
        <v>155.5</v>
      </c>
      <c r="Q24" s="1">
        <f t="shared" si="4"/>
        <v>154.9407781485873</v>
      </c>
      <c r="R24" s="1">
        <f t="shared" si="5"/>
        <v>0.5592218514127012</v>
      </c>
      <c r="S24" s="1">
        <v>0.5592218514127012</v>
      </c>
      <c r="T24" s="1">
        <f t="shared" si="6"/>
        <v>0.31272907909744924</v>
      </c>
      <c r="U24" s="1">
        <f t="shared" si="7"/>
        <v>0.35962820026540271</v>
      </c>
    </row>
    <row r="25" spans="1:21" x14ac:dyDescent="0.35">
      <c r="A25" s="1">
        <v>24</v>
      </c>
      <c r="B25" s="1">
        <v>5</v>
      </c>
      <c r="C25" s="1">
        <v>110.9</v>
      </c>
      <c r="G25" s="1">
        <v>24</v>
      </c>
      <c r="H25" s="1">
        <v>55</v>
      </c>
      <c r="I25" s="1">
        <f t="shared" si="0"/>
        <v>62.968861178677528</v>
      </c>
      <c r="J25" s="1">
        <f t="shared" si="1"/>
        <v>-7.9688611786775283</v>
      </c>
      <c r="K25" s="1">
        <v>7.9688611786775283</v>
      </c>
      <c r="L25" s="1">
        <f t="shared" si="2"/>
        <v>63.502748485033806</v>
      </c>
      <c r="M25" s="1">
        <f t="shared" si="3"/>
        <v>14.488838506686417</v>
      </c>
      <c r="O25" s="1">
        <v>24</v>
      </c>
      <c r="P25" s="1">
        <v>160.9</v>
      </c>
      <c r="Q25" s="1">
        <f t="shared" si="4"/>
        <v>155.05262251886984</v>
      </c>
      <c r="R25" s="1">
        <f t="shared" si="5"/>
        <v>5.8473774811301666</v>
      </c>
      <c r="S25" s="1">
        <v>5.8473774811301666</v>
      </c>
      <c r="T25" s="1">
        <f t="shared" si="6"/>
        <v>34.191823406828171</v>
      </c>
      <c r="U25" s="1">
        <f t="shared" si="7"/>
        <v>3.6341687266191212</v>
      </c>
    </row>
    <row r="26" spans="1:21" x14ac:dyDescent="0.35">
      <c r="O26" s="1"/>
    </row>
    <row r="27" spans="1:21" x14ac:dyDescent="0.35">
      <c r="K27" s="1">
        <f>AVERAGE(_xlfn.ANCHORARRAY(K3))</f>
        <v>7.5291578540012551</v>
      </c>
      <c r="L27" s="1">
        <f>AVERAGE(L3:L25)</f>
        <v>87.136733095450495</v>
      </c>
      <c r="M27" s="1">
        <f>AVERAGE(M3:M25)</f>
        <v>12.872168995222859</v>
      </c>
      <c r="S27" s="1">
        <f>AVERAGE(_xlfn.ANCHORARRAY(S3))</f>
        <v>6.7571730861338724</v>
      </c>
      <c r="T27" s="1">
        <f>AVERAGE(T3:T25)</f>
        <v>67.085711350388436</v>
      </c>
      <c r="U27" s="1">
        <f>AVERAGE(U3:U25)</f>
        <v>4.5967541948461159</v>
      </c>
    </row>
    <row r="28" spans="1:21" x14ac:dyDescent="0.35">
      <c r="K28" s="1" t="s">
        <v>8</v>
      </c>
      <c r="L28" s="1" t="s">
        <v>9</v>
      </c>
      <c r="M28" s="1" t="s">
        <v>10</v>
      </c>
      <c r="S28" s="1" t="s">
        <v>8</v>
      </c>
      <c r="T28" s="1" t="s">
        <v>9</v>
      </c>
      <c r="U28" s="1" t="s">
        <v>10</v>
      </c>
    </row>
    <row r="30" spans="1:21" x14ac:dyDescent="0.35">
      <c r="L30" s="1">
        <f>SQRT(L27)</f>
        <v>9.3347058387209234</v>
      </c>
      <c r="T30" s="1">
        <f>SQRT(T27)</f>
        <v>8.1905867525097644</v>
      </c>
    </row>
    <row r="31" spans="1:21" x14ac:dyDescent="0.35">
      <c r="L31" s="1" t="s">
        <v>15</v>
      </c>
      <c r="T3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9679-2CAE-4926-8454-F3F5E61C5FAF}">
  <dimension ref="A1:U31"/>
  <sheetViews>
    <sheetView topLeftCell="E1" zoomScale="71" workbookViewId="0">
      <selection activeCell="M31" sqref="M31"/>
    </sheetView>
  </sheetViews>
  <sheetFormatPr defaultRowHeight="14.5" x14ac:dyDescent="0.35"/>
  <cols>
    <col min="1" max="8" width="8.7265625" style="1"/>
    <col min="9" max="9" width="23.1796875" style="1" customWidth="1"/>
    <col min="10" max="10" width="9.36328125" style="1" customWidth="1"/>
    <col min="11" max="11" width="12.36328125" style="1" customWidth="1"/>
    <col min="12" max="12" width="11.90625" style="1" customWidth="1"/>
    <col min="13" max="13" width="21.6328125" style="1" customWidth="1"/>
    <col min="14" max="14" width="9.453125" style="1" customWidth="1"/>
    <col min="15" max="15" width="8.7265625" style="3"/>
    <col min="16" max="16" width="9.90625" style="1" customWidth="1"/>
    <col min="17" max="17" width="23.453125" style="1" customWidth="1"/>
    <col min="18" max="18" width="8.7265625" style="1"/>
    <col min="19" max="19" width="11.7265625" style="1" customWidth="1"/>
    <col min="20" max="20" width="11.26953125" style="1" customWidth="1"/>
    <col min="21" max="21" width="22.36328125" style="1" customWidth="1"/>
    <col min="22" max="16384" width="8.7265625" style="1"/>
  </cols>
  <sheetData>
    <row r="1" spans="1:21" ht="13.5" customHeight="1" x14ac:dyDescent="0.35">
      <c r="A1" s="1" t="s">
        <v>0</v>
      </c>
      <c r="B1" s="1" t="s">
        <v>1</v>
      </c>
      <c r="C1" s="1" t="s">
        <v>2</v>
      </c>
      <c r="E1" s="1">
        <v>50</v>
      </c>
      <c r="G1" s="1" t="s">
        <v>0</v>
      </c>
      <c r="H1" s="1" t="s">
        <v>1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O1" s="1" t="s">
        <v>0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1" x14ac:dyDescent="0.35">
      <c r="A2" s="1">
        <v>1</v>
      </c>
      <c r="B2" s="1">
        <v>25</v>
      </c>
      <c r="C2" s="1">
        <v>92.8</v>
      </c>
      <c r="G2" s="1">
        <v>1</v>
      </c>
      <c r="H2" s="1">
        <f>B2+$E$1</f>
        <v>75</v>
      </c>
      <c r="I2" s="1">
        <f>H2</f>
        <v>75</v>
      </c>
      <c r="O2" s="1">
        <v>1</v>
      </c>
      <c r="P2" s="1">
        <v>142.80000000000001</v>
      </c>
      <c r="Q2" s="1">
        <f>P2</f>
        <v>142.80000000000001</v>
      </c>
    </row>
    <row r="3" spans="1:21" x14ac:dyDescent="0.35">
      <c r="A3" s="1">
        <v>2</v>
      </c>
      <c r="B3" s="1">
        <v>0</v>
      </c>
      <c r="C3" s="1">
        <v>79.2</v>
      </c>
      <c r="G3" s="1">
        <v>2</v>
      </c>
      <c r="H3" s="1">
        <f>B3+$E$1</f>
        <v>50</v>
      </c>
      <c r="I3" s="1">
        <f>2*(0.2*H2+0.8*I2) - (0.2*(0.2*H2+0.8*I2)+0.8*I2)</f>
        <v>75</v>
      </c>
      <c r="J3" s="1">
        <f>H3-I3</f>
        <v>-25</v>
      </c>
      <c r="K3" s="1">
        <f>ABS(J3)</f>
        <v>25</v>
      </c>
      <c r="L3" s="1">
        <f>K3^2</f>
        <v>625</v>
      </c>
      <c r="M3" s="1">
        <f>(K3/H3)*100</f>
        <v>50</v>
      </c>
      <c r="O3" s="1">
        <v>2</v>
      </c>
      <c r="P3" s="1">
        <v>129.19999999999999</v>
      </c>
      <c r="Q3" s="1">
        <f>2*(0.2*P2+0.8*Q2) - (0.2*(0.2*P2+0.8*Q2)+0.8*Q2)</f>
        <v>142.80000000000001</v>
      </c>
      <c r="R3" s="1">
        <f>P3-Q3</f>
        <v>-13.600000000000023</v>
      </c>
      <c r="S3" s="1">
        <f>ABS(R3)</f>
        <v>13.600000000000023</v>
      </c>
      <c r="T3" s="1">
        <f>S3^2</f>
        <v>184.9600000000006</v>
      </c>
      <c r="U3" s="1">
        <f>(S3/P3)*100</f>
        <v>10.526315789473703</v>
      </c>
    </row>
    <row r="4" spans="1:21" x14ac:dyDescent="0.35">
      <c r="A4" s="1">
        <v>3</v>
      </c>
      <c r="B4" s="1">
        <v>15</v>
      </c>
      <c r="C4" s="1">
        <v>84.5</v>
      </c>
      <c r="G4" s="1">
        <v>3</v>
      </c>
      <c r="H4" s="1">
        <f>B4+$E$1</f>
        <v>65</v>
      </c>
      <c r="I4" s="1">
        <f t="shared" ref="I4:I25" si="0">2*(0.2*H3+0.8*I3) - (0.2*(0.2*H3+0.8*I3)+0.8*I3)</f>
        <v>66</v>
      </c>
      <c r="J4" s="1">
        <f t="shared" ref="J4:J25" si="1">H4-I4</f>
        <v>-1</v>
      </c>
      <c r="K4" s="1">
        <f t="shared" ref="K4:K25" si="2">ABS(J4)</f>
        <v>1</v>
      </c>
      <c r="L4" s="1">
        <f t="shared" ref="L4:L25" si="3">K4^2</f>
        <v>1</v>
      </c>
      <c r="M4" s="1">
        <f t="shared" ref="M4:M25" si="4">(K4/H4)*100</f>
        <v>1.5384615384615385</v>
      </c>
      <c r="O4" s="1">
        <v>3</v>
      </c>
      <c r="P4" s="1">
        <v>134.5</v>
      </c>
      <c r="Q4" s="1">
        <f t="shared" ref="Q4:Q25" si="5">2*(0.2*P3+0.8*Q3) - (0.2*(0.2*P3+0.8*Q3)+0.8*Q3)</f>
        <v>137.904</v>
      </c>
      <c r="R4" s="1">
        <f t="shared" ref="R4:R25" si="6">P4-Q4</f>
        <v>-3.4039999999999964</v>
      </c>
      <c r="S4" s="1">
        <f t="shared" ref="S4:S25" si="7">ABS(R4)</f>
        <v>3.4039999999999964</v>
      </c>
      <c r="T4" s="1">
        <f t="shared" ref="T4:T25" si="8">S4^2</f>
        <v>11.587215999999975</v>
      </c>
      <c r="U4" s="1">
        <f t="shared" ref="U4:U25" si="9">(S4/P4)*100</f>
        <v>2.5308550185873582</v>
      </c>
    </row>
    <row r="5" spans="1:21" x14ac:dyDescent="0.35">
      <c r="A5" s="1">
        <v>4</v>
      </c>
      <c r="B5" s="1">
        <v>10</v>
      </c>
      <c r="C5" s="1">
        <v>83</v>
      </c>
      <c r="G5" s="1">
        <v>4</v>
      </c>
      <c r="H5" s="1">
        <f>B5+$E$1</f>
        <v>60</v>
      </c>
      <c r="I5" s="1">
        <f t="shared" si="0"/>
        <v>65.640000000000015</v>
      </c>
      <c r="J5" s="1">
        <f t="shared" si="1"/>
        <v>-5.6400000000000148</v>
      </c>
      <c r="K5" s="1">
        <f t="shared" si="2"/>
        <v>5.6400000000000148</v>
      </c>
      <c r="L5" s="1">
        <f t="shared" si="3"/>
        <v>31.809600000000167</v>
      </c>
      <c r="M5" s="1">
        <f t="shared" si="4"/>
        <v>9.4000000000000252</v>
      </c>
      <c r="O5" s="1">
        <v>4</v>
      </c>
      <c r="P5" s="1">
        <v>133</v>
      </c>
      <c r="Q5" s="1">
        <f t="shared" si="5"/>
        <v>136.67855999999998</v>
      </c>
      <c r="R5" s="1">
        <f t="shared" si="6"/>
        <v>-3.6785599999999761</v>
      </c>
      <c r="S5" s="1">
        <f t="shared" si="7"/>
        <v>3.6785599999999761</v>
      </c>
      <c r="T5" s="1">
        <f t="shared" si="8"/>
        <v>13.531803673599825</v>
      </c>
      <c r="U5" s="1">
        <f t="shared" si="9"/>
        <v>2.7658345864661475</v>
      </c>
    </row>
    <row r="6" spans="1:21" x14ac:dyDescent="0.35">
      <c r="A6" s="1">
        <v>5</v>
      </c>
      <c r="B6" s="1">
        <v>20</v>
      </c>
      <c r="C6" s="1">
        <v>88.1</v>
      </c>
      <c r="G6" s="1">
        <v>5</v>
      </c>
      <c r="H6" s="1">
        <f>B6+$E$1</f>
        <v>70</v>
      </c>
      <c r="I6" s="1">
        <f t="shared" si="0"/>
        <v>63.609600000000015</v>
      </c>
      <c r="J6" s="1">
        <f t="shared" si="1"/>
        <v>6.3903999999999854</v>
      </c>
      <c r="K6" s="1">
        <f t="shared" si="2"/>
        <v>6.3903999999999854</v>
      </c>
      <c r="L6" s="1">
        <f t="shared" si="3"/>
        <v>40.837212159999815</v>
      </c>
      <c r="M6" s="1">
        <f t="shared" si="4"/>
        <v>9.1291428571428348</v>
      </c>
      <c r="O6" s="1">
        <v>5</v>
      </c>
      <c r="P6" s="1">
        <v>138.1</v>
      </c>
      <c r="Q6" s="1">
        <f t="shared" si="5"/>
        <v>135.3542784</v>
      </c>
      <c r="R6" s="1">
        <f t="shared" si="6"/>
        <v>2.745721599999996</v>
      </c>
      <c r="S6" s="1">
        <f t="shared" si="7"/>
        <v>2.745721599999996</v>
      </c>
      <c r="T6" s="1">
        <f t="shared" si="8"/>
        <v>7.5389871047065382</v>
      </c>
      <c r="U6" s="1">
        <f t="shared" si="9"/>
        <v>1.9882125995655295</v>
      </c>
    </row>
    <row r="7" spans="1:21" x14ac:dyDescent="0.35">
      <c r="A7" s="1">
        <v>6</v>
      </c>
      <c r="B7" s="1">
        <v>10</v>
      </c>
      <c r="C7" s="1">
        <v>83.9</v>
      </c>
      <c r="G7" s="1">
        <v>6</v>
      </c>
      <c r="H7" s="1">
        <f>B7+$E$1</f>
        <v>60</v>
      </c>
      <c r="I7" s="1">
        <f t="shared" si="0"/>
        <v>65.910144000000017</v>
      </c>
      <c r="J7" s="1">
        <f t="shared" si="1"/>
        <v>-5.9101440000000167</v>
      </c>
      <c r="K7" s="1">
        <f t="shared" si="2"/>
        <v>5.9101440000000167</v>
      </c>
      <c r="L7" s="1">
        <f t="shared" si="3"/>
        <v>34.929802100736197</v>
      </c>
      <c r="M7" s="1">
        <f t="shared" si="4"/>
        <v>9.8502400000000279</v>
      </c>
      <c r="O7" s="1">
        <v>6</v>
      </c>
      <c r="P7" s="1">
        <v>133.9</v>
      </c>
      <c r="Q7" s="1">
        <f t="shared" si="5"/>
        <v>136.34273817600001</v>
      </c>
      <c r="R7" s="1">
        <f t="shared" si="6"/>
        <v>-2.442738176000006</v>
      </c>
      <c r="S7" s="1">
        <f t="shared" si="7"/>
        <v>2.442738176000006</v>
      </c>
      <c r="T7" s="1">
        <f t="shared" si="8"/>
        <v>5.9669697964878363</v>
      </c>
      <c r="U7" s="1">
        <f t="shared" si="9"/>
        <v>1.8243003554891755</v>
      </c>
    </row>
    <row r="8" spans="1:21" x14ac:dyDescent="0.35">
      <c r="A8" s="1">
        <v>7</v>
      </c>
      <c r="B8" s="1">
        <v>5</v>
      </c>
      <c r="C8" s="1">
        <v>79.900000000000006</v>
      </c>
      <c r="G8" s="1">
        <v>7</v>
      </c>
      <c r="H8" s="1">
        <f>B8+$E$1</f>
        <v>55</v>
      </c>
      <c r="I8" s="1">
        <f t="shared" si="0"/>
        <v>63.782492160000018</v>
      </c>
      <c r="J8" s="1">
        <f t="shared" si="1"/>
        <v>-8.7824921600000181</v>
      </c>
      <c r="K8" s="1">
        <f t="shared" si="2"/>
        <v>8.7824921600000181</v>
      </c>
      <c r="L8" s="1">
        <f t="shared" si="3"/>
        <v>77.132168540461777</v>
      </c>
      <c r="M8" s="1">
        <f t="shared" si="4"/>
        <v>15.968167563636396</v>
      </c>
      <c r="O8" s="1">
        <v>7</v>
      </c>
      <c r="P8" s="1">
        <v>129.9</v>
      </c>
      <c r="Q8" s="1">
        <f t="shared" si="5"/>
        <v>135.46335243263999</v>
      </c>
      <c r="R8" s="1">
        <f t="shared" si="6"/>
        <v>-5.5633524326399879</v>
      </c>
      <c r="S8" s="1">
        <f t="shared" si="7"/>
        <v>5.5633524326399879</v>
      </c>
      <c r="T8" s="1">
        <f t="shared" si="8"/>
        <v>30.950890289761272</v>
      </c>
      <c r="U8" s="1">
        <f t="shared" si="9"/>
        <v>4.2827963299768959</v>
      </c>
    </row>
    <row r="9" spans="1:21" x14ac:dyDescent="0.35">
      <c r="A9" s="1">
        <v>8</v>
      </c>
      <c r="B9" s="1">
        <v>5</v>
      </c>
      <c r="C9" s="1">
        <v>81.099999999999994</v>
      </c>
      <c r="G9" s="1">
        <v>8</v>
      </c>
      <c r="H9" s="1">
        <f>B9+$E$1</f>
        <v>55</v>
      </c>
      <c r="I9" s="1">
        <f t="shared" si="0"/>
        <v>60.620794982400014</v>
      </c>
      <c r="J9" s="1">
        <f t="shared" si="1"/>
        <v>-5.6207949824000139</v>
      </c>
      <c r="K9" s="1">
        <f t="shared" si="2"/>
        <v>5.6207949824000139</v>
      </c>
      <c r="L9" s="1">
        <f t="shared" si="3"/>
        <v>31.593336234173172</v>
      </c>
      <c r="M9" s="1">
        <f t="shared" si="4"/>
        <v>10.219627240727299</v>
      </c>
      <c r="O9" s="1">
        <v>8</v>
      </c>
      <c r="P9" s="1">
        <v>131.1</v>
      </c>
      <c r="Q9" s="1">
        <f t="shared" si="5"/>
        <v>133.46054555688957</v>
      </c>
      <c r="R9" s="1">
        <f t="shared" si="6"/>
        <v>-2.3605455568895763</v>
      </c>
      <c r="S9" s="1">
        <f t="shared" si="7"/>
        <v>2.3605455568895763</v>
      </c>
      <c r="T9" s="1">
        <f t="shared" si="8"/>
        <v>5.57217532615112</v>
      </c>
      <c r="U9" s="1">
        <f t="shared" si="9"/>
        <v>1.8005686932796159</v>
      </c>
    </row>
    <row r="10" spans="1:21" x14ac:dyDescent="0.35">
      <c r="A10" s="1">
        <v>9</v>
      </c>
      <c r="B10" s="1">
        <v>15</v>
      </c>
      <c r="C10" s="1">
        <v>86.4</v>
      </c>
      <c r="G10" s="1">
        <v>9</v>
      </c>
      <c r="H10" s="1">
        <f>B10+$E$1</f>
        <v>65</v>
      </c>
      <c r="I10" s="1">
        <f t="shared" si="0"/>
        <v>58.597308788736015</v>
      </c>
      <c r="J10" s="1">
        <f t="shared" si="1"/>
        <v>6.4026912112639849</v>
      </c>
      <c r="K10" s="1">
        <f t="shared" si="2"/>
        <v>6.4026912112639849</v>
      </c>
      <c r="L10" s="1">
        <f t="shared" si="3"/>
        <v>40.994454746797075</v>
      </c>
      <c r="M10" s="1">
        <f t="shared" si="4"/>
        <v>9.8502941711753618</v>
      </c>
      <c r="O10" s="1">
        <v>9</v>
      </c>
      <c r="P10" s="1">
        <v>136.4</v>
      </c>
      <c r="Q10" s="1">
        <f t="shared" si="5"/>
        <v>132.61074915640933</v>
      </c>
      <c r="R10" s="1">
        <f t="shared" si="6"/>
        <v>3.7892508435906791</v>
      </c>
      <c r="S10" s="1">
        <f t="shared" si="7"/>
        <v>3.7892508435906791</v>
      </c>
      <c r="T10" s="1">
        <f t="shared" si="8"/>
        <v>14.358421955652673</v>
      </c>
      <c r="U10" s="1">
        <f t="shared" si="9"/>
        <v>2.7780431404623744</v>
      </c>
    </row>
    <row r="11" spans="1:21" x14ac:dyDescent="0.35">
      <c r="A11" s="1">
        <v>10</v>
      </c>
      <c r="B11" s="1">
        <v>15</v>
      </c>
      <c r="C11" s="1">
        <v>86.3</v>
      </c>
      <c r="G11" s="1">
        <v>10</v>
      </c>
      <c r="H11" s="1">
        <f>B11+$E$1</f>
        <v>65</v>
      </c>
      <c r="I11" s="1">
        <f t="shared" si="0"/>
        <v>60.902277624791054</v>
      </c>
      <c r="J11" s="1">
        <f t="shared" si="1"/>
        <v>4.0977223752089458</v>
      </c>
      <c r="K11" s="1">
        <f t="shared" si="2"/>
        <v>4.0977223752089458</v>
      </c>
      <c r="L11" s="1">
        <f t="shared" si="3"/>
        <v>16.791328664288045</v>
      </c>
      <c r="M11" s="1">
        <f t="shared" si="4"/>
        <v>6.304188269552224</v>
      </c>
      <c r="O11" s="1">
        <v>10</v>
      </c>
      <c r="P11" s="1">
        <v>136.30000000000001</v>
      </c>
      <c r="Q11" s="1">
        <f t="shared" si="5"/>
        <v>133.97487946010196</v>
      </c>
      <c r="R11" s="1">
        <f t="shared" si="6"/>
        <v>2.3251205398980517</v>
      </c>
      <c r="S11" s="1">
        <f t="shared" si="7"/>
        <v>2.3251205398980517</v>
      </c>
      <c r="T11" s="1">
        <f t="shared" si="8"/>
        <v>5.4061855250558075</v>
      </c>
      <c r="U11" s="1">
        <f t="shared" si="9"/>
        <v>1.7058844753470663</v>
      </c>
    </row>
    <row r="12" spans="1:21" x14ac:dyDescent="0.35">
      <c r="A12" s="1">
        <v>11</v>
      </c>
      <c r="B12" s="1">
        <v>5</v>
      </c>
      <c r="C12" s="1">
        <v>81.900000000000006</v>
      </c>
      <c r="G12" s="1">
        <v>11</v>
      </c>
      <c r="H12" s="1">
        <f>B12+$E$1</f>
        <v>55</v>
      </c>
      <c r="I12" s="1">
        <f t="shared" si="0"/>
        <v>62.377457679866282</v>
      </c>
      <c r="J12" s="1">
        <f t="shared" si="1"/>
        <v>-7.3774576798662821</v>
      </c>
      <c r="K12" s="1">
        <f t="shared" si="2"/>
        <v>7.3774576798662821</v>
      </c>
      <c r="L12" s="1">
        <f t="shared" si="3"/>
        <v>54.426881818217986</v>
      </c>
      <c r="M12" s="1">
        <f t="shared" si="4"/>
        <v>13.413559417938695</v>
      </c>
      <c r="O12" s="1">
        <v>11</v>
      </c>
      <c r="P12" s="1">
        <v>131.9</v>
      </c>
      <c r="Q12" s="1">
        <f t="shared" si="5"/>
        <v>134.81192285446525</v>
      </c>
      <c r="R12" s="1">
        <f t="shared" si="6"/>
        <v>-2.9119228544652458</v>
      </c>
      <c r="S12" s="1">
        <f t="shared" si="7"/>
        <v>2.9119228544652458</v>
      </c>
      <c r="T12" s="1">
        <f t="shared" si="8"/>
        <v>8.4792947103570242</v>
      </c>
      <c r="U12" s="1">
        <f t="shared" si="9"/>
        <v>2.2076746432640224</v>
      </c>
    </row>
    <row r="13" spans="1:21" x14ac:dyDescent="0.35">
      <c r="A13" s="1">
        <v>12</v>
      </c>
      <c r="B13" s="1">
        <v>20</v>
      </c>
      <c r="C13" s="1">
        <v>90.6</v>
      </c>
      <c r="G13" s="1">
        <v>12</v>
      </c>
      <c r="H13" s="1">
        <f>B13+$E$1</f>
        <v>70</v>
      </c>
      <c r="I13" s="1">
        <f t="shared" si="0"/>
        <v>59.721572915114422</v>
      </c>
      <c r="J13" s="1">
        <f t="shared" si="1"/>
        <v>10.278427084885578</v>
      </c>
      <c r="K13" s="1">
        <f t="shared" si="2"/>
        <v>10.278427084885578</v>
      </c>
      <c r="L13" s="1">
        <f t="shared" si="3"/>
        <v>105.64606333930945</v>
      </c>
      <c r="M13" s="1">
        <f t="shared" si="4"/>
        <v>14.683467264122255</v>
      </c>
      <c r="O13" s="1">
        <v>12</v>
      </c>
      <c r="P13" s="1">
        <v>140.6</v>
      </c>
      <c r="Q13" s="1">
        <f t="shared" si="5"/>
        <v>133.76363062685775</v>
      </c>
      <c r="R13" s="1">
        <f t="shared" si="6"/>
        <v>6.8363693731422472</v>
      </c>
      <c r="S13" s="1">
        <f t="shared" si="7"/>
        <v>6.8363693731422472</v>
      </c>
      <c r="T13" s="1">
        <f t="shared" si="8"/>
        <v>46.735946206037319</v>
      </c>
      <c r="U13" s="1">
        <f t="shared" si="9"/>
        <v>4.8622826267014565</v>
      </c>
    </row>
    <row r="14" spans="1:21" x14ac:dyDescent="0.35">
      <c r="A14" s="1">
        <v>13</v>
      </c>
      <c r="B14" s="1">
        <v>15</v>
      </c>
      <c r="C14" s="1">
        <v>91.4</v>
      </c>
      <c r="G14" s="1">
        <v>13</v>
      </c>
      <c r="H14" s="1">
        <v>65</v>
      </c>
      <c r="I14" s="1">
        <f t="shared" si="0"/>
        <v>63.42180666567323</v>
      </c>
      <c r="J14" s="1">
        <f t="shared" si="1"/>
        <v>1.5781933343267696</v>
      </c>
      <c r="K14" s="1">
        <f t="shared" si="2"/>
        <v>1.5781933343267696</v>
      </c>
      <c r="L14" s="1">
        <f t="shared" si="3"/>
        <v>2.4906942005134467</v>
      </c>
      <c r="M14" s="1">
        <f t="shared" si="4"/>
        <v>2.4279897451181069</v>
      </c>
      <c r="O14" s="1">
        <v>13</v>
      </c>
      <c r="P14" s="1">
        <v>141.4</v>
      </c>
      <c r="Q14" s="1">
        <f t="shared" si="5"/>
        <v>136.22472360118897</v>
      </c>
      <c r="R14" s="1">
        <f t="shared" si="6"/>
        <v>5.175276398811036</v>
      </c>
      <c r="S14" s="1">
        <f t="shared" si="7"/>
        <v>5.175276398811036</v>
      </c>
      <c r="T14" s="1">
        <f t="shared" si="8"/>
        <v>26.783485804090525</v>
      </c>
      <c r="U14" s="1">
        <f t="shared" si="9"/>
        <v>3.6600257417334059</v>
      </c>
    </row>
    <row r="15" spans="1:21" x14ac:dyDescent="0.35">
      <c r="A15" s="1">
        <v>14</v>
      </c>
      <c r="B15" s="1">
        <v>5</v>
      </c>
      <c r="C15" s="1">
        <v>88.5</v>
      </c>
      <c r="G15" s="1">
        <v>14</v>
      </c>
      <c r="H15" s="1">
        <v>55</v>
      </c>
      <c r="I15" s="1">
        <f t="shared" si="0"/>
        <v>63.989956266030866</v>
      </c>
      <c r="J15" s="1">
        <f t="shared" si="1"/>
        <v>-8.9899562660308661</v>
      </c>
      <c r="K15" s="1">
        <f t="shared" si="2"/>
        <v>8.9899562660308661</v>
      </c>
      <c r="L15" s="1">
        <f t="shared" si="3"/>
        <v>80.819313665147632</v>
      </c>
      <c r="M15" s="1">
        <f t="shared" si="4"/>
        <v>16.345375029147029</v>
      </c>
      <c r="O15" s="1">
        <v>14</v>
      </c>
      <c r="P15" s="1">
        <v>138.5</v>
      </c>
      <c r="Q15" s="1">
        <f t="shared" si="5"/>
        <v>138.08782310476096</v>
      </c>
      <c r="R15" s="1">
        <f t="shared" si="6"/>
        <v>0.41217689523904255</v>
      </c>
      <c r="S15" s="1">
        <f t="shared" si="7"/>
        <v>0.41217689523904255</v>
      </c>
      <c r="T15" s="1">
        <f t="shared" si="8"/>
        <v>0.16988979296889667</v>
      </c>
      <c r="U15" s="1">
        <f t="shared" si="9"/>
        <v>0.29760064638198019</v>
      </c>
    </row>
    <row r="16" spans="1:21" x14ac:dyDescent="0.35">
      <c r="A16" s="1">
        <v>15</v>
      </c>
      <c r="B16" s="1">
        <v>10</v>
      </c>
      <c r="C16" s="1">
        <v>93.5</v>
      </c>
      <c r="G16" s="1">
        <v>15</v>
      </c>
      <c r="H16" s="1">
        <v>60</v>
      </c>
      <c r="I16" s="1">
        <f t="shared" si="0"/>
        <v>60.753572010259759</v>
      </c>
      <c r="J16" s="1">
        <f t="shared" si="1"/>
        <v>-0.7535720102597594</v>
      </c>
      <c r="K16" s="1">
        <f t="shared" si="2"/>
        <v>0.7535720102597594</v>
      </c>
      <c r="L16" s="1">
        <f t="shared" si="3"/>
        <v>0.56787077464693492</v>
      </c>
      <c r="M16" s="1">
        <f t="shared" si="4"/>
        <v>1.2559533504329323</v>
      </c>
      <c r="O16" s="1">
        <v>15</v>
      </c>
      <c r="P16" s="1">
        <v>143.5</v>
      </c>
      <c r="Q16" s="1">
        <f t="shared" si="5"/>
        <v>138.236206787047</v>
      </c>
      <c r="R16" s="1">
        <f t="shared" si="6"/>
        <v>5.2637932129530043</v>
      </c>
      <c r="S16" s="1">
        <f t="shared" si="7"/>
        <v>5.2637932129530043</v>
      </c>
      <c r="T16" s="1">
        <f t="shared" si="8"/>
        <v>27.707518988730111</v>
      </c>
      <c r="U16" s="1">
        <f t="shared" si="9"/>
        <v>3.6681485804550551</v>
      </c>
    </row>
    <row r="17" spans="1:21" x14ac:dyDescent="0.35">
      <c r="A17" s="1">
        <v>16</v>
      </c>
      <c r="B17" s="1">
        <v>25</v>
      </c>
      <c r="C17" s="1">
        <v>105</v>
      </c>
      <c r="G17" s="1">
        <v>16</v>
      </c>
      <c r="H17" s="1">
        <v>75</v>
      </c>
      <c r="I17" s="1">
        <f t="shared" si="0"/>
        <v>60.482286086566248</v>
      </c>
      <c r="J17" s="1">
        <f t="shared" si="1"/>
        <v>14.517713913433752</v>
      </c>
      <c r="K17" s="1">
        <f t="shared" si="2"/>
        <v>14.517713913433752</v>
      </c>
      <c r="L17" s="1">
        <f t="shared" si="3"/>
        <v>210.76401727230797</v>
      </c>
      <c r="M17" s="1">
        <f t="shared" si="4"/>
        <v>19.356951884578336</v>
      </c>
      <c r="O17" s="1">
        <v>16</v>
      </c>
      <c r="P17" s="1">
        <v>155</v>
      </c>
      <c r="Q17" s="1">
        <f t="shared" si="5"/>
        <v>140.13117234371006</v>
      </c>
      <c r="R17" s="1">
        <f t="shared" si="6"/>
        <v>14.868827656289938</v>
      </c>
      <c r="S17" s="1">
        <f t="shared" si="7"/>
        <v>14.868827656289938</v>
      </c>
      <c r="T17" s="1">
        <f t="shared" si="8"/>
        <v>221.08203587245251</v>
      </c>
      <c r="U17" s="1">
        <f t="shared" si="9"/>
        <v>9.592792036316089</v>
      </c>
    </row>
    <row r="18" spans="1:21" x14ac:dyDescent="0.35">
      <c r="A18" s="1">
        <v>17</v>
      </c>
      <c r="B18" s="1">
        <v>15</v>
      </c>
      <c r="C18" s="1">
        <v>103.5</v>
      </c>
      <c r="G18" s="1">
        <v>17</v>
      </c>
      <c r="H18" s="1">
        <v>65</v>
      </c>
      <c r="I18" s="1">
        <f t="shared" si="0"/>
        <v>65.7086630954024</v>
      </c>
      <c r="J18" s="1">
        <f t="shared" si="1"/>
        <v>-0.70866309540240024</v>
      </c>
      <c r="K18" s="1">
        <f t="shared" si="2"/>
        <v>0.70866309540240024</v>
      </c>
      <c r="L18" s="1">
        <f t="shared" si="3"/>
        <v>0.5022033827853114</v>
      </c>
      <c r="M18" s="1">
        <f t="shared" si="4"/>
        <v>1.0902509160036928</v>
      </c>
      <c r="O18" s="1">
        <v>17</v>
      </c>
      <c r="P18" s="1">
        <v>153.5</v>
      </c>
      <c r="Q18" s="1">
        <f t="shared" si="5"/>
        <v>145.48395029997448</v>
      </c>
      <c r="R18" s="1">
        <f t="shared" si="6"/>
        <v>8.0160497000255191</v>
      </c>
      <c r="S18" s="1">
        <f t="shared" si="7"/>
        <v>8.0160497000255191</v>
      </c>
      <c r="T18" s="1">
        <f t="shared" si="8"/>
        <v>64.257052793279215</v>
      </c>
      <c r="U18" s="1">
        <f t="shared" si="9"/>
        <v>5.2221822150003376</v>
      </c>
    </row>
    <row r="19" spans="1:21" x14ac:dyDescent="0.35">
      <c r="A19" s="1">
        <v>18</v>
      </c>
      <c r="B19" s="1">
        <v>5</v>
      </c>
      <c r="C19" s="1">
        <v>99.6</v>
      </c>
      <c r="G19" s="1">
        <v>18</v>
      </c>
      <c r="H19" s="1">
        <v>55</v>
      </c>
      <c r="I19" s="1">
        <f t="shared" si="0"/>
        <v>65.453544381057526</v>
      </c>
      <c r="J19" s="1">
        <f t="shared" si="1"/>
        <v>-10.453544381057526</v>
      </c>
      <c r="K19" s="1">
        <f t="shared" si="2"/>
        <v>10.453544381057526</v>
      </c>
      <c r="L19" s="1">
        <f t="shared" si="3"/>
        <v>109.27659012673938</v>
      </c>
      <c r="M19" s="1">
        <f t="shared" si="4"/>
        <v>19.006444329195503</v>
      </c>
      <c r="O19" s="1">
        <v>18</v>
      </c>
      <c r="P19" s="1">
        <v>149.6</v>
      </c>
      <c r="Q19" s="1">
        <f t="shared" si="5"/>
        <v>148.36972819198368</v>
      </c>
      <c r="R19" s="1">
        <f t="shared" si="6"/>
        <v>1.2302718080163118</v>
      </c>
      <c r="S19" s="1">
        <f t="shared" si="7"/>
        <v>1.2302718080163118</v>
      </c>
      <c r="T19" s="1">
        <f t="shared" si="8"/>
        <v>1.5135687215997247</v>
      </c>
      <c r="U19" s="1">
        <f t="shared" si="9"/>
        <v>0.82237420321945964</v>
      </c>
    </row>
    <row r="20" spans="1:21" x14ac:dyDescent="0.35">
      <c r="A20" s="1">
        <v>19</v>
      </c>
      <c r="B20" s="1">
        <v>15</v>
      </c>
      <c r="C20" s="1">
        <v>107.1</v>
      </c>
      <c r="G20" s="1">
        <v>19</v>
      </c>
      <c r="H20" s="1">
        <v>65</v>
      </c>
      <c r="I20" s="1">
        <f t="shared" si="0"/>
        <v>61.690268403876814</v>
      </c>
      <c r="J20" s="1">
        <f t="shared" si="1"/>
        <v>3.3097315961231857</v>
      </c>
      <c r="K20" s="1">
        <f t="shared" si="2"/>
        <v>3.3097315961231857</v>
      </c>
      <c r="L20" s="1">
        <f t="shared" si="3"/>
        <v>10.95432323837613</v>
      </c>
      <c r="M20" s="1">
        <f t="shared" si="4"/>
        <v>5.0918947632664393</v>
      </c>
      <c r="O20" s="1">
        <v>19</v>
      </c>
      <c r="P20" s="1">
        <v>157.1</v>
      </c>
      <c r="Q20" s="1">
        <f t="shared" si="5"/>
        <v>148.81262604286954</v>
      </c>
      <c r="R20" s="1">
        <f t="shared" si="6"/>
        <v>8.2873739571304554</v>
      </c>
      <c r="S20" s="1">
        <f t="shared" si="7"/>
        <v>8.2873739571304554</v>
      </c>
      <c r="T20" s="1">
        <f t="shared" si="8"/>
        <v>68.680567105324101</v>
      </c>
      <c r="U20" s="1">
        <f t="shared" si="9"/>
        <v>5.2752221242078008</v>
      </c>
    </row>
    <row r="21" spans="1:21" x14ac:dyDescent="0.35">
      <c r="A21" s="1">
        <v>20</v>
      </c>
      <c r="B21" s="1">
        <v>20</v>
      </c>
      <c r="C21" s="1">
        <v>110.9</v>
      </c>
      <c r="G21" s="1">
        <v>20</v>
      </c>
      <c r="H21" s="1">
        <v>70</v>
      </c>
      <c r="I21" s="1">
        <f t="shared" si="0"/>
        <v>62.881771778481166</v>
      </c>
      <c r="J21" s="1">
        <f t="shared" si="1"/>
        <v>7.1182282215188337</v>
      </c>
      <c r="K21" s="1">
        <f t="shared" si="2"/>
        <v>7.1182282215188337</v>
      </c>
      <c r="L21" s="1">
        <f t="shared" si="3"/>
        <v>50.66917301362718</v>
      </c>
      <c r="M21" s="1">
        <f t="shared" si="4"/>
        <v>10.168897459312621</v>
      </c>
      <c r="O21" s="1">
        <v>20</v>
      </c>
      <c r="P21" s="1">
        <v>160.9</v>
      </c>
      <c r="Q21" s="1">
        <f t="shared" si="5"/>
        <v>151.79608066743651</v>
      </c>
      <c r="R21" s="1">
        <f t="shared" si="6"/>
        <v>9.1039193325634926</v>
      </c>
      <c r="S21" s="1">
        <f t="shared" si="7"/>
        <v>9.1039193325634926</v>
      </c>
      <c r="T21" s="1">
        <f t="shared" si="8"/>
        <v>82.881347213823304</v>
      </c>
      <c r="U21" s="1">
        <f t="shared" si="9"/>
        <v>5.6581226429853899</v>
      </c>
    </row>
    <row r="22" spans="1:21" x14ac:dyDescent="0.35">
      <c r="A22" s="1">
        <v>21</v>
      </c>
      <c r="B22" s="1">
        <v>25</v>
      </c>
      <c r="C22" s="1">
        <v>114.7</v>
      </c>
      <c r="G22" s="1">
        <v>21</v>
      </c>
      <c r="H22" s="1">
        <v>75</v>
      </c>
      <c r="I22" s="1">
        <f t="shared" si="0"/>
        <v>65.444333938227942</v>
      </c>
      <c r="J22" s="1">
        <f t="shared" si="1"/>
        <v>9.5556660617720581</v>
      </c>
      <c r="K22" s="1">
        <f t="shared" si="2"/>
        <v>9.5556660617720581</v>
      </c>
      <c r="L22" s="1">
        <f t="shared" si="3"/>
        <v>91.310753884102311</v>
      </c>
      <c r="M22" s="1">
        <f t="shared" si="4"/>
        <v>12.740888082362744</v>
      </c>
      <c r="O22" s="1">
        <v>21</v>
      </c>
      <c r="P22" s="1">
        <v>164.7</v>
      </c>
      <c r="Q22" s="1">
        <f t="shared" si="5"/>
        <v>155.07349162715937</v>
      </c>
      <c r="R22" s="1">
        <f t="shared" si="6"/>
        <v>9.6265083728406182</v>
      </c>
      <c r="S22" s="1">
        <f t="shared" si="7"/>
        <v>9.6265083728406182</v>
      </c>
      <c r="T22" s="1">
        <f t="shared" si="8"/>
        <v>92.669663452370528</v>
      </c>
      <c r="U22" s="1">
        <f t="shared" si="9"/>
        <v>5.8448745433154938</v>
      </c>
    </row>
    <row r="23" spans="1:21" x14ac:dyDescent="0.35">
      <c r="A23" s="1">
        <v>22</v>
      </c>
      <c r="B23" s="1">
        <v>15</v>
      </c>
      <c r="C23" s="1">
        <v>112.1</v>
      </c>
      <c r="G23" s="1">
        <v>22</v>
      </c>
      <c r="H23" s="1">
        <v>65</v>
      </c>
      <c r="I23" s="1">
        <f t="shared" si="0"/>
        <v>68.884373720465888</v>
      </c>
      <c r="J23" s="1">
        <f t="shared" si="1"/>
        <v>-3.8843737204658879</v>
      </c>
      <c r="K23" s="1">
        <f t="shared" si="2"/>
        <v>3.8843737204658879</v>
      </c>
      <c r="L23" s="1">
        <f t="shared" si="3"/>
        <v>15.088359200246003</v>
      </c>
      <c r="M23" s="1">
        <f t="shared" si="4"/>
        <v>5.9759595699475199</v>
      </c>
      <c r="O23" s="1">
        <v>22</v>
      </c>
      <c r="P23" s="1">
        <v>162.1</v>
      </c>
      <c r="Q23" s="1">
        <f t="shared" si="5"/>
        <v>158.53903464138202</v>
      </c>
      <c r="R23" s="1">
        <f t="shared" si="6"/>
        <v>3.5609653586179775</v>
      </c>
      <c r="S23" s="1">
        <f t="shared" si="7"/>
        <v>3.5609653586179775</v>
      </c>
      <c r="T23" s="1">
        <f t="shared" si="8"/>
        <v>12.680474285277262</v>
      </c>
      <c r="U23" s="1">
        <f t="shared" si="9"/>
        <v>2.19677073326217</v>
      </c>
    </row>
    <row r="24" spans="1:21" x14ac:dyDescent="0.35">
      <c r="A24" s="1">
        <v>23</v>
      </c>
      <c r="B24" s="1">
        <v>0</v>
      </c>
      <c r="C24" s="1">
        <v>105.5</v>
      </c>
      <c r="G24" s="1">
        <v>23</v>
      </c>
      <c r="H24" s="1">
        <v>50</v>
      </c>
      <c r="I24" s="1">
        <f t="shared" si="0"/>
        <v>67.485999181098165</v>
      </c>
      <c r="J24" s="1">
        <f t="shared" si="1"/>
        <v>-17.485999181098165</v>
      </c>
      <c r="K24" s="1">
        <f t="shared" si="2"/>
        <v>17.485999181098165</v>
      </c>
      <c r="L24" s="1">
        <f t="shared" si="3"/>
        <v>305.76016736136569</v>
      </c>
      <c r="M24" s="1">
        <f t="shared" si="4"/>
        <v>34.971998362196331</v>
      </c>
      <c r="O24" s="1">
        <v>23</v>
      </c>
      <c r="P24" s="1">
        <v>155.5</v>
      </c>
      <c r="Q24" s="1">
        <f t="shared" si="5"/>
        <v>159.82098217048446</v>
      </c>
      <c r="R24" s="1">
        <f t="shared" si="6"/>
        <v>-4.3209821704844558</v>
      </c>
      <c r="S24" s="1">
        <f t="shared" si="7"/>
        <v>4.3209821704844558</v>
      </c>
      <c r="T24" s="1">
        <f t="shared" si="8"/>
        <v>18.670886917644559</v>
      </c>
      <c r="U24" s="1">
        <f t="shared" si="9"/>
        <v>2.7787666691218367</v>
      </c>
    </row>
    <row r="25" spans="1:21" x14ac:dyDescent="0.35">
      <c r="A25" s="1">
        <v>24</v>
      </c>
      <c r="B25" s="1">
        <v>5</v>
      </c>
      <c r="C25" s="1">
        <v>110.9</v>
      </c>
      <c r="G25" s="1">
        <v>24</v>
      </c>
      <c r="H25" s="1">
        <v>55</v>
      </c>
      <c r="I25" s="1">
        <f t="shared" si="0"/>
        <v>61.191039475902826</v>
      </c>
      <c r="J25" s="1">
        <f t="shared" si="1"/>
        <v>-6.1910394759028264</v>
      </c>
      <c r="K25" s="1">
        <f t="shared" si="2"/>
        <v>6.1910394759028264</v>
      </c>
      <c r="L25" s="1">
        <f t="shared" si="3"/>
        <v>38.328969792187145</v>
      </c>
      <c r="M25" s="1">
        <f t="shared" si="4"/>
        <v>11.256435410732411</v>
      </c>
      <c r="O25" s="1">
        <v>24</v>
      </c>
      <c r="P25" s="1">
        <v>160.9</v>
      </c>
      <c r="Q25" s="1">
        <f t="shared" si="5"/>
        <v>158.26542858911003</v>
      </c>
      <c r="R25" s="1">
        <f t="shared" si="6"/>
        <v>2.6345714108899756</v>
      </c>
      <c r="S25" s="1">
        <f t="shared" si="7"/>
        <v>2.6345714108899756</v>
      </c>
      <c r="T25" s="1">
        <f t="shared" si="8"/>
        <v>6.9409665190787964</v>
      </c>
      <c r="U25" s="1">
        <f t="shared" si="9"/>
        <v>1.6373967749471567</v>
      </c>
    </row>
    <row r="26" spans="1:21" x14ac:dyDescent="0.35">
      <c r="O26" s="1"/>
    </row>
    <row r="27" spans="1:21" x14ac:dyDescent="0.35">
      <c r="K27" s="1">
        <f>AVERAGE(K3:K25)</f>
        <v>7.4368178587398646</v>
      </c>
      <c r="L27" s="1">
        <f>AVERAGE(L3:L25)</f>
        <v>85.943186239827341</v>
      </c>
      <c r="M27" s="1">
        <f>AVERAGE(M3:M25)</f>
        <v>12.610703792393494</v>
      </c>
      <c r="S27" s="1">
        <f>AVERAGE(S3:S25)</f>
        <v>5.3112303326298962</v>
      </c>
      <c r="T27" s="1">
        <f>AVERAGE(T3:T25)</f>
        <v>41.701102089323896</v>
      </c>
      <c r="U27" s="1">
        <f>AVERAGE(U3:U25)</f>
        <v>3.6490019638938929</v>
      </c>
    </row>
    <row r="28" spans="1:21" x14ac:dyDescent="0.35">
      <c r="K28" s="1" t="s">
        <v>8</v>
      </c>
      <c r="L28" s="1" t="s">
        <v>9</v>
      </c>
      <c r="M28" s="1" t="s">
        <v>10</v>
      </c>
      <c r="S28" s="1" t="s">
        <v>8</v>
      </c>
      <c r="T28" s="1" t="s">
        <v>9</v>
      </c>
      <c r="U28" s="1" t="s">
        <v>10</v>
      </c>
    </row>
    <row r="30" spans="1:21" x14ac:dyDescent="0.35">
      <c r="L30" s="1">
        <f>SQRT(L27)</f>
        <v>9.2705547967652588</v>
      </c>
      <c r="T30" s="1">
        <f>SQRT(T27)</f>
        <v>6.4576390491667999</v>
      </c>
    </row>
    <row r="31" spans="1:21" x14ac:dyDescent="0.35">
      <c r="L31" s="1" t="s">
        <v>15</v>
      </c>
      <c r="T3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C4DD-6AA9-4E98-8B44-895B970E5730}">
  <dimension ref="A1:A13"/>
  <sheetViews>
    <sheetView tabSelected="1" workbookViewId="0">
      <selection activeCell="G17" sqref="G17"/>
    </sheetView>
  </sheetViews>
  <sheetFormatPr defaultRowHeight="14.5" x14ac:dyDescent="0.35"/>
  <sheetData>
    <row r="1" spans="1:1" x14ac:dyDescent="0.35">
      <c r="A1" s="4" t="s">
        <v>16</v>
      </c>
    </row>
    <row r="2" spans="1:1" x14ac:dyDescent="0.35">
      <c r="A2" s="5"/>
    </row>
    <row r="3" spans="1:1" x14ac:dyDescent="0.35">
      <c r="A3" s="6" t="s">
        <v>17</v>
      </c>
    </row>
    <row r="4" spans="1:1" x14ac:dyDescent="0.35">
      <c r="A4" s="5"/>
    </row>
    <row r="5" spans="1:1" x14ac:dyDescent="0.35">
      <c r="A5" s="5"/>
    </row>
    <row r="6" spans="1:1" x14ac:dyDescent="0.35">
      <c r="A6" s="7"/>
    </row>
    <row r="7" spans="1:1" x14ac:dyDescent="0.35">
      <c r="A7" s="7" t="s">
        <v>18</v>
      </c>
    </row>
    <row r="8" spans="1:1" x14ac:dyDescent="0.35">
      <c r="A8" s="5"/>
    </row>
    <row r="9" spans="1:1" x14ac:dyDescent="0.35">
      <c r="A9" s="6" t="s">
        <v>19</v>
      </c>
    </row>
    <row r="10" spans="1:1" x14ac:dyDescent="0.35">
      <c r="A10" s="5"/>
    </row>
    <row r="11" spans="1:1" x14ac:dyDescent="0.35">
      <c r="A11" s="5"/>
    </row>
    <row r="12" spans="1:1" x14ac:dyDescent="0.35">
      <c r="A12" s="7"/>
    </row>
    <row r="13" spans="1:1" x14ac:dyDescent="0.35">
      <c r="A13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SMA</vt:lpstr>
      <vt:lpstr>DMA</vt:lpstr>
      <vt:lpstr>SES</vt:lpstr>
      <vt:lpstr>DES</vt:lpstr>
      <vt:lpstr>KESIMPULAN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Joycelyn Hutagalung</dc:creator>
  <cp:lastModifiedBy>Rahel Joycelyn Hutagalung</cp:lastModifiedBy>
  <dcterms:created xsi:type="dcterms:W3CDTF">2026-08-25T12:38:06Z</dcterms:created>
  <dcterms:modified xsi:type="dcterms:W3CDTF">2026-08-25T15:18:19Z</dcterms:modified>
</cp:coreProperties>
</file>